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<sst xmlns="http://schemas.openxmlformats.org/spreadsheetml/2006/main" count="115" uniqueCount="115">
  <si>
    <t>nama</t>
  </si>
  <si>
    <t>mob</t>
  </si>
  <si>
    <t>weight</t>
  </si>
  <si>
    <t>height</t>
  </si>
  <si>
    <t xml:space="preserve">weigth group</t>
  </si>
  <si>
    <t xml:space="preserve">height group</t>
  </si>
  <si>
    <t>wg</t>
  </si>
  <si>
    <t>SUM</t>
  </si>
  <si>
    <t>std1</t>
  </si>
  <si>
    <t>std2</t>
  </si>
  <si>
    <t>std3</t>
  </si>
  <si>
    <t>std4</t>
  </si>
  <si>
    <t>std5</t>
  </si>
  <si>
    <t>std6</t>
  </si>
  <si>
    <t>std7</t>
  </si>
  <si>
    <t>std8</t>
  </si>
  <si>
    <t>std9</t>
  </si>
  <si>
    <t>std10</t>
  </si>
  <si>
    <t>std11</t>
  </si>
  <si>
    <t>std12</t>
  </si>
  <si>
    <t>std13</t>
  </si>
  <si>
    <t>std14</t>
  </si>
  <si>
    <t>std15</t>
  </si>
  <si>
    <t>std16</t>
  </si>
  <si>
    <t>std17</t>
  </si>
  <si>
    <t>std18</t>
  </si>
  <si>
    <t>std19</t>
  </si>
  <si>
    <t>std20</t>
  </si>
  <si>
    <t>std21</t>
  </si>
  <si>
    <t>std22</t>
  </si>
  <si>
    <t>std23</t>
  </si>
  <si>
    <t>std24</t>
  </si>
  <si>
    <t>std25</t>
  </si>
  <si>
    <t>std26</t>
  </si>
  <si>
    <t>std27</t>
  </si>
  <si>
    <t>std28</t>
  </si>
  <si>
    <t>std29</t>
  </si>
  <si>
    <t>std30</t>
  </si>
  <si>
    <t>std31</t>
  </si>
  <si>
    <t>std32</t>
  </si>
  <si>
    <t>std33</t>
  </si>
  <si>
    <t>std34</t>
  </si>
  <si>
    <t>std35</t>
  </si>
  <si>
    <t>std36</t>
  </si>
  <si>
    <t>std37</t>
  </si>
  <si>
    <t>E</t>
  </si>
  <si>
    <t>std38</t>
  </si>
  <si>
    <t>std39</t>
  </si>
  <si>
    <t>std40</t>
  </si>
  <si>
    <t>std41</t>
  </si>
  <si>
    <t>std42</t>
  </si>
  <si>
    <t>std43</t>
  </si>
  <si>
    <t>std44</t>
  </si>
  <si>
    <t>std45</t>
  </si>
  <si>
    <t>std46</t>
  </si>
  <si>
    <t>std47</t>
  </si>
  <si>
    <t>std48</t>
  </si>
  <si>
    <t>std49</t>
  </si>
  <si>
    <t>std50</t>
  </si>
  <si>
    <t>std51</t>
  </si>
  <si>
    <t>std52</t>
  </si>
  <si>
    <t>std53</t>
  </si>
  <si>
    <t>std54</t>
  </si>
  <si>
    <t>std55</t>
  </si>
  <si>
    <t>std56</t>
  </si>
  <si>
    <t>std57</t>
  </si>
  <si>
    <t>std58</t>
  </si>
  <si>
    <t>std59</t>
  </si>
  <si>
    <t>std60</t>
  </si>
  <si>
    <t>std61</t>
  </si>
  <si>
    <t>std62</t>
  </si>
  <si>
    <t>std63</t>
  </si>
  <si>
    <t>std64</t>
  </si>
  <si>
    <t>std65</t>
  </si>
  <si>
    <t>std66</t>
  </si>
  <si>
    <t>std67</t>
  </si>
  <si>
    <t>std68</t>
  </si>
  <si>
    <t>std69</t>
  </si>
  <si>
    <t>std70</t>
  </si>
  <si>
    <t>std71</t>
  </si>
  <si>
    <t>std72</t>
  </si>
  <si>
    <t>std73</t>
  </si>
  <si>
    <t>std74</t>
  </si>
  <si>
    <t>std75</t>
  </si>
  <si>
    <t>std76</t>
  </si>
  <si>
    <t>std77</t>
  </si>
  <si>
    <t>std78</t>
  </si>
  <si>
    <t>std79</t>
  </si>
  <si>
    <t>std80</t>
  </si>
  <si>
    <t>std81</t>
  </si>
  <si>
    <t>std82</t>
  </si>
  <si>
    <t>std83</t>
  </si>
  <si>
    <t>std84</t>
  </si>
  <si>
    <t>std85</t>
  </si>
  <si>
    <t>std86</t>
  </si>
  <si>
    <t>std87</t>
  </si>
  <si>
    <t>std88</t>
  </si>
  <si>
    <t>std89</t>
  </si>
  <si>
    <t>std90</t>
  </si>
  <si>
    <t>std91</t>
  </si>
  <si>
    <t>std92</t>
  </si>
  <si>
    <t>std93</t>
  </si>
  <si>
    <t>std94</t>
  </si>
  <si>
    <t>std95</t>
  </si>
  <si>
    <t>std96</t>
  </si>
  <si>
    <t>std97</t>
  </si>
  <si>
    <t>std98</t>
  </si>
  <si>
    <t>std99</t>
  </si>
  <si>
    <t>std100</t>
  </si>
  <si>
    <t>min</t>
  </si>
  <si>
    <t>max</t>
  </si>
  <si>
    <t>mean</t>
  </si>
  <si>
    <t>var</t>
  </si>
  <si>
    <t>std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</si>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</sst>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32" zoomScale="100" workbookViewId="0">
      <selection activeCell="A1" activeCellId="0" sqref="A1"/>
    </sheetView>
  </sheetViews>
  <sheetFormatPr defaultRowHeight="14.25"/>
  <cols>
    <col bestFit="1" min="8" max="8" width="12.8515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>
        <v>142.5</v>
      </c>
      <c r="J1" s="1">
        <f>I1+5</f>
        <v>147.5</v>
      </c>
      <c r="K1" s="1">
        <f>J1+5</f>
        <v>152.5</v>
      </c>
      <c r="L1" s="1">
        <f>K1+5</f>
        <v>157.5</v>
      </c>
      <c r="M1" s="1">
        <f>L1+5</f>
        <v>162.5</v>
      </c>
      <c r="N1" s="1">
        <f>M1+5</f>
        <v>167.5</v>
      </c>
      <c r="O1" s="1">
        <f>N1+5</f>
        <v>172.5</v>
      </c>
      <c r="P1" s="1">
        <f>O1+5</f>
        <v>177.5</v>
      </c>
      <c r="Q1" s="1">
        <f>P1+5</f>
        <v>182.5</v>
      </c>
      <c r="R1" s="1">
        <f>Q1+5</f>
        <v>187.5</v>
      </c>
      <c r="S1" s="1">
        <f>R1+5</f>
        <v>192.5</v>
      </c>
      <c r="T1" s="1">
        <f>S1+5</f>
        <v>197.5</v>
      </c>
      <c r="U1" t="s">
        <v>7</v>
      </c>
    </row>
    <row r="2" ht="14.25">
      <c r="A2" t="s">
        <v>8</v>
      </c>
      <c r="C2">
        <f ca="1">_xlfn.NORM.INV(RAND(),65,7)</f>
        <v>63.630759208764822</v>
      </c>
      <c r="D2">
        <f ca="1">_xlfn.NORM.INV(RAND(),160,10)</f>
        <v>141.48947340506609</v>
      </c>
      <c r="E2">
        <f>FLOOR(C2,5)+2.5</f>
        <v>62.5</v>
      </c>
      <c r="F2" s="2">
        <f>FLOOR(D2,5)+2.5</f>
        <v>142.5</v>
      </c>
      <c r="H2">
        <v>42.5</v>
      </c>
      <c r="I2">
        <f>COUNTIFS($E$2:$E$101,$H2,$F$2:$F$101,I$1)</f>
        <v>0</v>
      </c>
      <c r="J2">
        <f>COUNTIFS($E$2:$E$101,$H2,$F$2:$F$101,J$1)</f>
        <v>0</v>
      </c>
      <c r="K2">
        <f>COUNTIFS($E$2:$E$101,$H2,$F$2:$F$101,K$1)</f>
        <v>0</v>
      </c>
      <c r="L2">
        <f>COUNTIFS($E$2:$E$101,$H2,$F$2:$F$101,L$1)</f>
        <v>0</v>
      </c>
      <c r="M2">
        <f>COUNTIFS($E$2:$E$101,$H2,$F$2:$F$101,M$1)</f>
        <v>0</v>
      </c>
      <c r="N2">
        <f>COUNTIFS($E$2:$E$101,$H2,$F$2:$F$101,N$1)</f>
        <v>0</v>
      </c>
      <c r="O2">
        <f>COUNTIFS($E$2:$E$101,$H2,$F$2:$F$101,O$1)</f>
        <v>0</v>
      </c>
      <c r="P2">
        <f>COUNTIFS($E$2:$E$101,$H2,$F$2:$F$101,P$1)</f>
        <v>0</v>
      </c>
      <c r="Q2">
        <f>COUNTIFS($E$2:$E$101,$H2,$F$2:$F$101,Q$1)</f>
        <v>0</v>
      </c>
      <c r="R2">
        <f>COUNTIFS($E$2:$E$101,$H2,$F$2:$F$101,R$1)</f>
        <v>0</v>
      </c>
      <c r="S2">
        <f>COUNTIFS($E$2:$E$101,$H2,$F$2:$F$101,S$1)</f>
        <v>0</v>
      </c>
      <c r="T2">
        <f>COUNTIFS($E$2:$E$101,$H2,$F$2:$F$101,T$1)</f>
        <v>0</v>
      </c>
      <c r="U2">
        <f>SUM(I2:T2)</f>
        <v>0</v>
      </c>
    </row>
    <row r="3" ht="14.25">
      <c r="A3" t="s">
        <v>9</v>
      </c>
      <c r="C3">
        <f ca="1">_xlfn.NORM.INV(RAND(),65,7)</f>
        <v>63.987675434692036</v>
      </c>
      <c r="D3">
        <f ca="1">_xlfn.NORM.INV(RAND(),160,10)</f>
        <v>155.17149283743964</v>
      </c>
      <c r="E3">
        <f>FLOOR(C3,5)+2.5</f>
        <v>62.5</v>
      </c>
      <c r="F3" s="2">
        <f>FLOOR(D3,5)+2.5</f>
        <v>157.5</v>
      </c>
      <c r="H3">
        <f>5+H2</f>
        <v>47.5</v>
      </c>
      <c r="I3">
        <f>COUNTIFS($E$2:$E$101,$H3,$F$2:$F$101,I$1)</f>
        <v>0</v>
      </c>
      <c r="J3">
        <f>COUNTIFS($E$2:$E$101,$H3,$F$2:$F$101,J$1)</f>
        <v>0</v>
      </c>
      <c r="K3">
        <f>COUNTIFS($E$2:$E$101,$H3,$F$2:$F$101,K$1)</f>
        <v>1</v>
      </c>
      <c r="L3">
        <f>COUNTIFS($E$2:$E$101,$H3,$F$2:$F$101,L$1)</f>
        <v>0</v>
      </c>
      <c r="M3">
        <f>COUNTIFS($E$2:$E$101,$H3,$F$2:$F$101,M$1)</f>
        <v>0</v>
      </c>
      <c r="N3">
        <f>COUNTIFS($E$2:$E$101,$H3,$F$2:$F$101,N$1)</f>
        <v>0</v>
      </c>
      <c r="O3">
        <f>COUNTIFS($E$2:$E$101,$H3,$F$2:$F$101,O$1)</f>
        <v>0</v>
      </c>
      <c r="P3">
        <f>COUNTIFS($E$2:$E$101,$H3,$F$2:$F$101,P$1)</f>
        <v>0</v>
      </c>
      <c r="Q3">
        <f>COUNTIFS($E$2:$E$101,$H3,$F$2:$F$101,Q$1)</f>
        <v>0</v>
      </c>
      <c r="R3">
        <f>COUNTIFS($E$2:$E$101,$H3,$F$2:$F$101,R$1)</f>
        <v>0</v>
      </c>
      <c r="S3">
        <f>COUNTIFS($E$2:$E$101,$H3,$F$2:$F$101,S$1)</f>
        <v>0</v>
      </c>
      <c r="T3">
        <f>COUNTIFS($E$2:$E$101,$H3,$F$2:$F$101,T$1)</f>
        <v>0</v>
      </c>
      <c r="U3">
        <f>SUM(I3:T3)</f>
        <v>1</v>
      </c>
    </row>
    <row r="4" ht="14.25">
      <c r="A4" s="3" t="s">
        <v>10</v>
      </c>
      <c r="C4">
        <f ca="1">_xlfn.NORM.INV(RAND(),65,7)</f>
        <v>62.603105443762743</v>
      </c>
      <c r="D4">
        <f ca="1">_xlfn.NORM.INV(RAND(),160,10)</f>
        <v>161.61176605390708</v>
      </c>
      <c r="E4">
        <f>FLOOR(C4,5)+2.5</f>
        <v>62.5</v>
      </c>
      <c r="F4" s="2">
        <f>FLOOR(D4,5)+2.5</f>
        <v>162.5</v>
      </c>
      <c r="H4" s="3">
        <f>5+H3</f>
        <v>52.5</v>
      </c>
      <c r="I4">
        <f>COUNTIFS($E$2:$E$101,$H4,$F$2:$F$101,I$1)</f>
        <v>0</v>
      </c>
      <c r="J4">
        <f>COUNTIFS($E$2:$E$101,$H4,$F$2:$F$101,J$1)</f>
        <v>0</v>
      </c>
      <c r="K4">
        <f>COUNTIFS($E$2:$E$101,$H4,$F$2:$F$101,K$1)</f>
        <v>1</v>
      </c>
      <c r="L4">
        <f>COUNTIFS($E$2:$E$101,$H4,$F$2:$F$101,L$1)</f>
        <v>3</v>
      </c>
      <c r="M4">
        <f>COUNTIFS($E$2:$E$101,$H4,$F$2:$F$101,M$1)</f>
        <v>1</v>
      </c>
      <c r="N4">
        <f>COUNTIFS($E$2:$E$101,$H4,$F$2:$F$101,N$1)</f>
        <v>0</v>
      </c>
      <c r="O4">
        <f>COUNTIFS($E$2:$E$101,$H4,$F$2:$F$101,O$1)</f>
        <v>0</v>
      </c>
      <c r="P4">
        <f>COUNTIFS($E$2:$E$101,$H4,$F$2:$F$101,P$1)</f>
        <v>0</v>
      </c>
      <c r="Q4">
        <f>COUNTIFS($E$2:$E$101,$H4,$F$2:$F$101,Q$1)</f>
        <v>0</v>
      </c>
      <c r="R4">
        <f>COUNTIFS($E$2:$E$101,$H4,$F$2:$F$101,R$1)</f>
        <v>0</v>
      </c>
      <c r="S4">
        <f>COUNTIFS($E$2:$E$101,$H4,$F$2:$F$101,S$1)</f>
        <v>0</v>
      </c>
      <c r="T4">
        <f>COUNTIFS($E$2:$E$101,$H4,$F$2:$F$101,T$1)</f>
        <v>0</v>
      </c>
      <c r="U4">
        <f>SUM(I4:T4)</f>
        <v>5</v>
      </c>
    </row>
    <row r="5" ht="14.25">
      <c r="A5" s="3" t="s">
        <v>11</v>
      </c>
      <c r="C5">
        <f ca="1">_xlfn.NORM.INV(RAND(),65,7)</f>
        <v>57.417028617218577</v>
      </c>
      <c r="D5">
        <f ca="1">_xlfn.NORM.INV(RAND(),160,10)</f>
        <v>136.00249293863672</v>
      </c>
      <c r="E5">
        <f>FLOOR(C5,5)+2.5</f>
        <v>57.5</v>
      </c>
      <c r="F5" s="2">
        <f>FLOOR(D5,5)+2.5</f>
        <v>137.5</v>
      </c>
      <c r="H5" s="3">
        <f>5+H4</f>
        <v>57.5</v>
      </c>
      <c r="I5">
        <f>COUNTIFS($E$2:$E$101,$H5,$F$2:$F$101,I$1)</f>
        <v>0</v>
      </c>
      <c r="J5">
        <f>COUNTIFS($E$2:$E$101,$H5,$F$2:$F$101,J$1)</f>
        <v>1</v>
      </c>
      <c r="K5">
        <f>COUNTIFS($E$2:$E$101,$H5,$F$2:$F$101,K$1)</f>
        <v>1</v>
      </c>
      <c r="L5">
        <f>COUNTIFS($E$2:$E$101,$H5,$F$2:$F$101,L$1)</f>
        <v>6</v>
      </c>
      <c r="M5">
        <f>COUNTIFS($E$2:$E$101,$H5,$F$2:$F$101,M$1)</f>
        <v>3</v>
      </c>
      <c r="N5">
        <f>COUNTIFS($E$2:$E$101,$H5,$F$2:$F$101,N$1)</f>
        <v>2</v>
      </c>
      <c r="O5">
        <f>COUNTIFS($E$2:$E$101,$H5,$F$2:$F$101,O$1)</f>
        <v>1</v>
      </c>
      <c r="P5">
        <f>COUNTIFS($E$2:$E$101,$H5,$F$2:$F$101,P$1)</f>
        <v>3</v>
      </c>
      <c r="Q5">
        <f>COUNTIFS($E$2:$E$101,$H5,$F$2:$F$101,Q$1)</f>
        <v>0</v>
      </c>
      <c r="R5">
        <f>COUNTIFS($E$2:$E$101,$H5,$F$2:$F$101,R$1)</f>
        <v>0</v>
      </c>
      <c r="S5">
        <f>COUNTIFS($E$2:$E$101,$H5,$F$2:$F$101,S$1)</f>
        <v>0</v>
      </c>
      <c r="T5">
        <f>COUNTIFS($E$2:$E$101,$H5,$F$2:$F$101,T$1)</f>
        <v>0</v>
      </c>
      <c r="U5">
        <f>SUM(I5:T5)</f>
        <v>17</v>
      </c>
    </row>
    <row r="6" ht="14.25">
      <c r="A6" s="3" t="s">
        <v>12</v>
      </c>
      <c r="C6">
        <f ca="1">_xlfn.NORM.INV(RAND(),65,7)</f>
        <v>64.676846223806493</v>
      </c>
      <c r="D6">
        <f ca="1">_xlfn.NORM.INV(RAND(),160,10)</f>
        <v>166.71373462340841</v>
      </c>
      <c r="E6">
        <f>FLOOR(C6,5)+2.5</f>
        <v>62.5</v>
      </c>
      <c r="F6" s="2">
        <f>FLOOR(D6,5)+2.5</f>
        <v>167.5</v>
      </c>
      <c r="H6" s="3">
        <f>5+H5</f>
        <v>62.5</v>
      </c>
      <c r="I6">
        <f>COUNTIFS($E$2:$E$101,$H6,$F$2:$F$101,I$1)</f>
        <v>4</v>
      </c>
      <c r="J6">
        <f>COUNTIFS($E$2:$E$101,$H6,$F$2:$F$101,J$1)</f>
        <v>1</v>
      </c>
      <c r="K6">
        <f>COUNTIFS($E$2:$E$101,$H6,$F$2:$F$101,K$1)</f>
        <v>5</v>
      </c>
      <c r="L6">
        <f>COUNTIFS($E$2:$E$101,$H6,$F$2:$F$101,L$1)</f>
        <v>3</v>
      </c>
      <c r="M6">
        <f>COUNTIFS($E$2:$E$101,$H6,$F$2:$F$101,M$1)</f>
        <v>5</v>
      </c>
      <c r="N6">
        <f>COUNTIFS($E$2:$E$101,$H6,$F$2:$F$101,N$1)</f>
        <v>9</v>
      </c>
      <c r="O6">
        <f>COUNTIFS($E$2:$E$101,$H6,$F$2:$F$101,O$1)</f>
        <v>2</v>
      </c>
      <c r="P6">
        <f>COUNTIFS($E$2:$E$101,$H6,$F$2:$F$101,P$1)</f>
        <v>2</v>
      </c>
      <c r="Q6">
        <f>COUNTIFS($E$2:$E$101,$H6,$F$2:$F$101,Q$1)</f>
        <v>0</v>
      </c>
      <c r="R6">
        <f>COUNTIFS($E$2:$E$101,$H6,$F$2:$F$101,R$1)</f>
        <v>0</v>
      </c>
      <c r="S6">
        <f>COUNTIFS($E$2:$E$101,$H6,$F$2:$F$101,S$1)</f>
        <v>0</v>
      </c>
      <c r="T6">
        <f>COUNTIFS($E$2:$E$101,$H6,$F$2:$F$101,T$1)</f>
        <v>0</v>
      </c>
      <c r="U6">
        <f>SUM(I6:T6)</f>
        <v>31</v>
      </c>
    </row>
    <row r="7" ht="14.25">
      <c r="A7" s="3" t="s">
        <v>13</v>
      </c>
      <c r="C7">
        <f ca="1">_xlfn.NORM.INV(RAND(),65,7)</f>
        <v>66.322151444304453</v>
      </c>
      <c r="D7">
        <f ca="1">_xlfn.NORM.INV(RAND(),160,10)</f>
        <v>151.59275582127418</v>
      </c>
      <c r="E7">
        <f>FLOOR(C7,5)+2.5</f>
        <v>67.5</v>
      </c>
      <c r="F7" s="2">
        <f>FLOOR(D7,5)+2.5</f>
        <v>152.5</v>
      </c>
      <c r="H7" s="3">
        <f>5+H6</f>
        <v>67.5</v>
      </c>
      <c r="I7">
        <f>COUNTIFS($E$2:$E$101,$H7,$F$2:$F$101,I$1)</f>
        <v>4</v>
      </c>
      <c r="J7">
        <f>COUNTIFS($E$2:$E$101,$H7,$F$2:$F$101,J$1)</f>
        <v>2</v>
      </c>
      <c r="K7">
        <f>COUNTIFS($E$2:$E$101,$H7,$F$2:$F$101,K$1)</f>
        <v>5</v>
      </c>
      <c r="L7">
        <f>COUNTIFS($E$2:$E$101,$H7,$F$2:$F$101,L$1)</f>
        <v>0</v>
      </c>
      <c r="M7">
        <f>COUNTIFS($E$2:$E$101,$H7,$F$2:$F$101,M$1)</f>
        <v>4</v>
      </c>
      <c r="N7">
        <f>COUNTIFS($E$2:$E$101,$H7,$F$2:$F$101,N$1)</f>
        <v>3</v>
      </c>
      <c r="O7">
        <f>COUNTIFS($E$2:$E$101,$H7,$F$2:$F$101,O$1)</f>
        <v>3</v>
      </c>
      <c r="P7">
        <f>COUNTIFS($E$2:$E$101,$H7,$F$2:$F$101,P$1)</f>
        <v>0</v>
      </c>
      <c r="Q7">
        <f>COUNTIFS($E$2:$E$101,$H7,$F$2:$F$101,Q$1)</f>
        <v>1</v>
      </c>
      <c r="R7">
        <f>COUNTIFS($E$2:$E$101,$H7,$F$2:$F$101,R$1)</f>
        <v>0</v>
      </c>
      <c r="S7">
        <f>COUNTIFS($E$2:$E$101,$H7,$F$2:$F$101,S$1)</f>
        <v>0</v>
      </c>
      <c r="T7">
        <f>COUNTIFS($E$2:$E$101,$H7,$F$2:$F$101,T$1)</f>
        <v>0</v>
      </c>
      <c r="U7">
        <f>SUM(I7:T7)</f>
        <v>22</v>
      </c>
    </row>
    <row r="8" ht="14.25">
      <c r="A8" s="3" t="s">
        <v>14</v>
      </c>
      <c r="C8">
        <f ca="1">_xlfn.NORM.INV(RAND(),65,7)</f>
        <v>68.447155760876939</v>
      </c>
      <c r="D8">
        <f ca="1">_xlfn.NORM.INV(RAND(),160,10)</f>
        <v>172.6977473168175</v>
      </c>
      <c r="E8">
        <f>FLOOR(C8,5)+2.5</f>
        <v>67.5</v>
      </c>
      <c r="F8" s="2">
        <f>FLOOR(D8,5)+2.5</f>
        <v>172.5</v>
      </c>
      <c r="H8" s="3">
        <f>5+H7</f>
        <v>72.5</v>
      </c>
      <c r="I8">
        <f>COUNTIFS($E$2:$E$101,$H8,$F$2:$F$101,I$1)</f>
        <v>0</v>
      </c>
      <c r="J8">
        <f>COUNTIFS($E$2:$E$101,$H8,$F$2:$F$101,J$1)</f>
        <v>2</v>
      </c>
      <c r="K8">
        <f>COUNTIFS($E$2:$E$101,$H8,$F$2:$F$101,K$1)</f>
        <v>3</v>
      </c>
      <c r="L8">
        <f>COUNTIFS($E$2:$E$101,$H8,$F$2:$F$101,L$1)</f>
        <v>3</v>
      </c>
      <c r="M8">
        <f>COUNTIFS($E$2:$E$101,$H8,$F$2:$F$101,M$1)</f>
        <v>3</v>
      </c>
      <c r="N8">
        <f>COUNTIFS($E$2:$E$101,$H8,$F$2:$F$101,N$1)</f>
        <v>4</v>
      </c>
      <c r="O8">
        <f>COUNTIFS($E$2:$E$101,$H8,$F$2:$F$101,O$1)</f>
        <v>0</v>
      </c>
      <c r="P8">
        <f>COUNTIFS($E$2:$E$101,$H8,$F$2:$F$101,P$1)</f>
        <v>0</v>
      </c>
      <c r="Q8">
        <f>COUNTIFS($E$2:$E$101,$H8,$F$2:$F$101,Q$1)</f>
        <v>0</v>
      </c>
      <c r="R8">
        <f>COUNTIFS($E$2:$E$101,$H8,$F$2:$F$101,R$1)</f>
        <v>0</v>
      </c>
      <c r="S8">
        <f>COUNTIFS($E$2:$E$101,$H8,$F$2:$F$101,S$1)</f>
        <v>0</v>
      </c>
      <c r="T8">
        <f>COUNTIFS($E$2:$E$101,$H8,$F$2:$F$101,T$1)</f>
        <v>0</v>
      </c>
      <c r="U8">
        <f>SUM(I8:T8)</f>
        <v>15</v>
      </c>
    </row>
    <row r="9" ht="14.25">
      <c r="A9" s="3" t="s">
        <v>15</v>
      </c>
      <c r="C9">
        <f ca="1">_xlfn.NORM.INV(RAND(),65,7)</f>
        <v>57.713292768501987</v>
      </c>
      <c r="D9">
        <f ca="1">_xlfn.NORM.INV(RAND(),160,10)</f>
        <v>162.23016701246297</v>
      </c>
      <c r="E9">
        <f>FLOOR(C9,5)+2.5</f>
        <v>57.5</v>
      </c>
      <c r="F9" s="2">
        <f>FLOOR(D9,5)+2.5</f>
        <v>162.5</v>
      </c>
      <c r="H9" s="3">
        <f>5+H8</f>
        <v>77.5</v>
      </c>
      <c r="I9">
        <f>COUNTIFS($E$2:$E$101,$H9,$F$2:$F$101,I$1)</f>
        <v>0</v>
      </c>
      <c r="J9">
        <f>COUNTIFS($E$2:$E$101,$H9,$F$2:$F$101,J$1)</f>
        <v>1</v>
      </c>
      <c r="K9">
        <f>COUNTIFS($E$2:$E$101,$H9,$F$2:$F$101,K$1)</f>
        <v>0</v>
      </c>
      <c r="L9">
        <f>COUNTIFS($E$2:$E$101,$H9,$F$2:$F$101,L$1)</f>
        <v>1</v>
      </c>
      <c r="M9">
        <f>COUNTIFS($E$2:$E$101,$H9,$F$2:$F$101,M$1)</f>
        <v>1</v>
      </c>
      <c r="N9">
        <f>COUNTIFS($E$2:$E$101,$H9,$F$2:$F$101,N$1)</f>
        <v>1</v>
      </c>
      <c r="O9">
        <f>COUNTIFS($E$2:$E$101,$H9,$F$2:$F$101,O$1)</f>
        <v>1</v>
      </c>
      <c r="P9">
        <f>COUNTIFS($E$2:$E$101,$H9,$F$2:$F$101,P$1)</f>
        <v>0</v>
      </c>
      <c r="Q9">
        <f>COUNTIFS($E$2:$E$101,$H9,$F$2:$F$101,Q$1)</f>
        <v>0</v>
      </c>
      <c r="R9">
        <f>COUNTIFS($E$2:$E$101,$H9,$F$2:$F$101,R$1)</f>
        <v>0</v>
      </c>
      <c r="S9">
        <f>COUNTIFS($E$2:$E$101,$H9,$F$2:$F$101,S$1)</f>
        <v>0</v>
      </c>
      <c r="T9">
        <f>COUNTIFS($E$2:$E$101,$H9,$F$2:$F$101,T$1)</f>
        <v>0</v>
      </c>
      <c r="U9">
        <f>SUM(I9:T9)</f>
        <v>5</v>
      </c>
    </row>
    <row r="10" ht="14.25">
      <c r="A10" s="3" t="s">
        <v>16</v>
      </c>
      <c r="C10">
        <f ca="1">_xlfn.NORM.INV(RAND(),65,7)</f>
        <v>64.637322039849025</v>
      </c>
      <c r="D10">
        <f ca="1">_xlfn.NORM.INV(RAND(),160,10)</f>
        <v>151.59668108231079</v>
      </c>
      <c r="E10">
        <f>FLOOR(C10,5)+2.5</f>
        <v>62.5</v>
      </c>
      <c r="F10" s="2">
        <f>FLOOR(D10,5)+2.5</f>
        <v>152.5</v>
      </c>
      <c r="H10" s="3">
        <f>5+H9</f>
        <v>82.5</v>
      </c>
      <c r="I10">
        <f>COUNTIFS($E$2:$E$101,$H10,$F$2:$F$101,I$1)</f>
        <v>0</v>
      </c>
      <c r="J10">
        <f>COUNTIFS($E$2:$E$101,$H10,$F$2:$F$101,J$1)</f>
        <v>0</v>
      </c>
      <c r="K10">
        <f>COUNTIFS($E$2:$E$101,$H10,$F$2:$F$101,K$1)</f>
        <v>0</v>
      </c>
      <c r="L10">
        <f>COUNTIFS($E$2:$E$101,$H10,$F$2:$F$101,L$1)</f>
        <v>0</v>
      </c>
      <c r="M10">
        <f>COUNTIFS($E$2:$E$101,$H10,$F$2:$F$101,M$1)</f>
        <v>0</v>
      </c>
      <c r="N10">
        <f>COUNTIFS($E$2:$E$101,$H10,$F$2:$F$101,N$1)</f>
        <v>1</v>
      </c>
      <c r="O10">
        <f>COUNTIFS($E$2:$E$101,$H10,$F$2:$F$101,O$1)</f>
        <v>0</v>
      </c>
      <c r="P10">
        <f>COUNTIFS($E$2:$E$101,$H10,$F$2:$F$101,P$1)</f>
        <v>0</v>
      </c>
      <c r="Q10">
        <f>COUNTIFS($E$2:$E$101,$H10,$F$2:$F$101,Q$1)</f>
        <v>0</v>
      </c>
      <c r="R10">
        <f>COUNTIFS($E$2:$E$101,$H10,$F$2:$F$101,R$1)</f>
        <v>0</v>
      </c>
      <c r="S10">
        <f>COUNTIFS($E$2:$E$101,$H10,$F$2:$F$101,S$1)</f>
        <v>0</v>
      </c>
      <c r="T10">
        <f>COUNTIFS($E$2:$E$101,$H10,$F$2:$F$101,T$1)</f>
        <v>0</v>
      </c>
      <c r="U10">
        <f>SUM(I10:T10)</f>
        <v>1</v>
      </c>
    </row>
    <row r="11" ht="14.25">
      <c r="A11" s="3" t="s">
        <v>17</v>
      </c>
      <c r="C11">
        <f ca="1">_xlfn.NORM.INV(RAND(),65,7)</f>
        <v>75.017846491766718</v>
      </c>
      <c r="D11">
        <f ca="1">_xlfn.NORM.INV(RAND(),160,10)</f>
        <v>169.58196436301509</v>
      </c>
      <c r="E11">
        <f>FLOOR(C11,5)+2.5</f>
        <v>77.5</v>
      </c>
      <c r="F11" s="2">
        <f>FLOOR(D11,5)+2.5</f>
        <v>167.5</v>
      </c>
      <c r="H11" s="3">
        <f>5+H10</f>
        <v>87.5</v>
      </c>
      <c r="I11">
        <f>COUNTIFS($E$2:$E$101,$H11,$F$2:$F$101,I$1)</f>
        <v>0</v>
      </c>
      <c r="J11">
        <f>COUNTIFS($E$2:$E$101,$H11,$F$2:$F$101,J$1)</f>
        <v>0</v>
      </c>
      <c r="K11">
        <f>COUNTIFS($E$2:$E$101,$H11,$F$2:$F$101,K$1)</f>
        <v>0</v>
      </c>
      <c r="L11">
        <f>COUNTIFS($E$2:$E$101,$H11,$F$2:$F$101,L$1)</f>
        <v>0</v>
      </c>
      <c r="M11">
        <f>COUNTIFS($E$2:$E$101,$H11,$F$2:$F$101,M$1)</f>
        <v>0</v>
      </c>
      <c r="N11">
        <f>COUNTIFS($E$2:$E$101,$H11,$F$2:$F$101,N$1)</f>
        <v>0</v>
      </c>
      <c r="O11">
        <f>COUNTIFS($E$2:$E$101,$H11,$F$2:$F$101,O$1)</f>
        <v>0</v>
      </c>
      <c r="P11">
        <f>COUNTIFS($E$2:$E$101,$H11,$F$2:$F$101,P$1)</f>
        <v>0</v>
      </c>
      <c r="Q11">
        <f>COUNTIFS($E$2:$E$101,$H11,$F$2:$F$101,Q$1)</f>
        <v>0</v>
      </c>
      <c r="R11">
        <f>COUNTIFS($E$2:$E$101,$H11,$F$2:$F$101,R$1)</f>
        <v>0</v>
      </c>
      <c r="S11">
        <f>COUNTIFS($E$2:$E$101,$H11,$F$2:$F$101,S$1)</f>
        <v>0</v>
      </c>
      <c r="T11">
        <f>COUNTIFS($E$2:$E$101,$H11,$F$2:$F$101,T$1)</f>
        <v>0</v>
      </c>
      <c r="U11">
        <f>SUM(I11:T11)</f>
        <v>0</v>
      </c>
    </row>
    <row r="12" ht="14.25">
      <c r="A12" s="3" t="s">
        <v>18</v>
      </c>
      <c r="C12">
        <f ca="1">_xlfn.NORM.INV(RAND(),65,7)</f>
        <v>60.128853470162056</v>
      </c>
      <c r="D12">
        <f ca="1">_xlfn.NORM.INV(RAND(),160,10)</f>
        <v>165.83352814095787</v>
      </c>
      <c r="E12">
        <f>FLOOR(C12,5)+2.5</f>
        <v>62.5</v>
      </c>
      <c r="F12" s="2">
        <f>FLOOR(D12,5)+2.5</f>
        <v>167.5</v>
      </c>
      <c r="U12">
        <f>SUM(U2:U11)</f>
        <v>97</v>
      </c>
    </row>
    <row r="13" ht="14.25">
      <c r="A13" s="3" t="s">
        <v>19</v>
      </c>
      <c r="C13">
        <f ca="1">_xlfn.NORM.INV(RAND(),65,7)</f>
        <v>74.773553598526419</v>
      </c>
      <c r="D13">
        <f ca="1">_xlfn.NORM.INV(RAND(),160,10)</f>
        <v>165.62464410507405</v>
      </c>
      <c r="E13">
        <f>FLOOR(C13,5)+2.5</f>
        <v>72.5</v>
      </c>
      <c r="F13" s="2">
        <f>FLOOR(D13,5)+2.5</f>
        <v>167.5</v>
      </c>
    </row>
    <row r="14" ht="14.25">
      <c r="A14" s="3" t="s">
        <v>20</v>
      </c>
      <c r="C14">
        <f ca="1">_xlfn.NORM.INV(RAND(),65,7)</f>
        <v>69.050950724066794</v>
      </c>
      <c r="D14">
        <f ca="1">_xlfn.NORM.INV(RAND(),160,10)</f>
        <v>143.97272028886073</v>
      </c>
      <c r="E14">
        <f>FLOOR(C14,5)+2.5</f>
        <v>67.5</v>
      </c>
      <c r="F14" s="2">
        <f>FLOOR(D14,5)+2.5</f>
        <v>142.5</v>
      </c>
      <c r="H14" t="s">
        <v>6</v>
      </c>
      <c r="I14">
        <v>142.5</v>
      </c>
      <c r="J14" s="2">
        <f>I14+5</f>
        <v>147.5</v>
      </c>
      <c r="K14" s="2">
        <f>J14+5</f>
        <v>152.5</v>
      </c>
      <c r="L14" s="2">
        <f>K14+5</f>
        <v>157.5</v>
      </c>
      <c r="M14" s="2">
        <f>L14+5</f>
        <v>162.5</v>
      </c>
      <c r="N14" s="2">
        <f>M14+5</f>
        <v>167.5</v>
      </c>
      <c r="O14" s="2">
        <f>N14+5</f>
        <v>172.5</v>
      </c>
      <c r="P14" s="2">
        <f>O14+5</f>
        <v>177.5</v>
      </c>
      <c r="Q14" s="2">
        <f>P14+5</f>
        <v>182.5</v>
      </c>
      <c r="R14" s="2">
        <f>Q14+5</f>
        <v>187.5</v>
      </c>
      <c r="S14">
        <f>SUM(S15:S24)</f>
        <v>0.97000000000000008</v>
      </c>
      <c r="T14">
        <f>SUM(T15:T24)</f>
        <v>62.675000000000004</v>
      </c>
    </row>
    <row r="15" ht="14.25">
      <c r="A15" s="3" t="s">
        <v>21</v>
      </c>
      <c r="C15">
        <f ca="1">_xlfn.NORM.INV(RAND(),65,7)</f>
        <v>60.624981589867453</v>
      </c>
      <c r="D15">
        <f ca="1">_xlfn.NORM.INV(RAND(),160,10)</f>
        <v>152.39686381948104</v>
      </c>
      <c r="E15">
        <f>FLOOR(C15,5)+2.5</f>
        <v>62.5</v>
      </c>
      <c r="F15" s="2">
        <f>FLOOR(D15,5)+2.5</f>
        <v>152.5</v>
      </c>
      <c r="H15">
        <v>42.5</v>
      </c>
      <c r="I15" s="2">
        <f>I2/100</f>
        <v>0</v>
      </c>
      <c r="J15" s="2">
        <f>J2/100</f>
        <v>0</v>
      </c>
      <c r="K15" s="2">
        <f>K2/100</f>
        <v>0</v>
      </c>
      <c r="L15" s="2">
        <f>L2/100</f>
        <v>0</v>
      </c>
      <c r="M15" s="2">
        <f>M2/100</f>
        <v>0</v>
      </c>
      <c r="N15" s="2">
        <f>N2/100</f>
        <v>0</v>
      </c>
      <c r="O15" s="2">
        <f>O2/100</f>
        <v>0</v>
      </c>
      <c r="P15" s="2">
        <f>P2/100</f>
        <v>0</v>
      </c>
      <c r="Q15" s="2">
        <f>Q2/100</f>
        <v>0</v>
      </c>
      <c r="R15" s="2">
        <f>R2/100</f>
        <v>0</v>
      </c>
      <c r="S15">
        <f>SUM(I15:R15)</f>
        <v>0</v>
      </c>
      <c r="T15">
        <f>S15*H15</f>
        <v>0</v>
      </c>
    </row>
    <row r="16" ht="14.25">
      <c r="A16" s="3" t="s">
        <v>22</v>
      </c>
      <c r="C16">
        <f ca="1">_xlfn.NORM.INV(RAND(),65,7)</f>
        <v>58.610795310104571</v>
      </c>
      <c r="D16">
        <f ca="1">_xlfn.NORM.INV(RAND(),160,10)</f>
        <v>175.17467252142842</v>
      </c>
      <c r="E16">
        <f>FLOOR(C16,5)+2.5</f>
        <v>57.5</v>
      </c>
      <c r="F16" s="2">
        <f>FLOOR(D16,5)+2.5</f>
        <v>177.5</v>
      </c>
      <c r="H16">
        <f>5+H15</f>
        <v>47.5</v>
      </c>
      <c r="I16" s="2">
        <f>I3/100</f>
        <v>0</v>
      </c>
      <c r="J16" s="2">
        <f>J3/100</f>
        <v>0</v>
      </c>
      <c r="K16" s="2">
        <f>K3/100</f>
        <v>1.e-002</v>
      </c>
      <c r="L16" s="2">
        <f>L3/100</f>
        <v>0</v>
      </c>
      <c r="M16" s="2">
        <f>M3/100</f>
        <v>0</v>
      </c>
      <c r="N16" s="2">
        <f>N3/100</f>
        <v>0</v>
      </c>
      <c r="O16" s="2">
        <f>O3/100</f>
        <v>0</v>
      </c>
      <c r="P16" s="2">
        <f>P3/100</f>
        <v>0</v>
      </c>
      <c r="Q16" s="2">
        <f>Q3/100</f>
        <v>0</v>
      </c>
      <c r="R16" s="2">
        <f>R3/100</f>
        <v>0</v>
      </c>
      <c r="S16">
        <f>SUM(I16:R16)</f>
        <v>1.e-002</v>
      </c>
      <c r="T16">
        <f>S16*H16</f>
        <v>0.47500000000000003</v>
      </c>
    </row>
    <row r="17" ht="14.25">
      <c r="A17" s="3" t="s">
        <v>23</v>
      </c>
      <c r="C17">
        <f ca="1">_xlfn.NORM.INV(RAND(),65,7)</f>
        <v>66.812816165976017</v>
      </c>
      <c r="D17">
        <f ca="1">_xlfn.NORM.INV(RAND(),160,10)</f>
        <v>149.25419799038772</v>
      </c>
      <c r="E17">
        <f>FLOOR(C17,5)+2.5</f>
        <v>67.5</v>
      </c>
      <c r="F17" s="2">
        <f>FLOOR(D17,5)+2.5</f>
        <v>147.5</v>
      </c>
      <c r="H17">
        <f>5+H16</f>
        <v>52.5</v>
      </c>
      <c r="I17" s="2">
        <f>I4/100</f>
        <v>0</v>
      </c>
      <c r="J17" s="2">
        <f>J4/100</f>
        <v>0</v>
      </c>
      <c r="K17" s="2">
        <f>K4/100</f>
        <v>1.e-002</v>
      </c>
      <c r="L17" s="2">
        <f>L4/100</f>
        <v>2.9999999999999999e-002</v>
      </c>
      <c r="M17" s="2">
        <f>M4/100</f>
        <v>1.e-002</v>
      </c>
      <c r="N17" s="2">
        <f>N4/100</f>
        <v>0</v>
      </c>
      <c r="O17" s="2">
        <f>O4/100</f>
        <v>0</v>
      </c>
      <c r="P17" s="2">
        <f>P4/100</f>
        <v>0</v>
      </c>
      <c r="Q17" s="2">
        <f>Q4/100</f>
        <v>0</v>
      </c>
      <c r="R17" s="2">
        <f>R4/100</f>
        <v>0</v>
      </c>
      <c r="S17">
        <f>SUM(I17:R17)</f>
        <v>5.0000000000000003e-002</v>
      </c>
      <c r="T17">
        <f>S17*H17</f>
        <v>2.625</v>
      </c>
    </row>
    <row r="18" ht="14.25">
      <c r="A18" s="3" t="s">
        <v>24</v>
      </c>
      <c r="C18">
        <f ca="1">_xlfn.NORM.INV(RAND(),65,7)</f>
        <v>78.599147931302866</v>
      </c>
      <c r="D18">
        <f ca="1">_xlfn.NORM.INV(RAND(),160,10)</f>
        <v>149.26631550876249</v>
      </c>
      <c r="E18">
        <f>FLOOR(C18,5)+2.5</f>
        <v>77.5</v>
      </c>
      <c r="F18" s="2">
        <f>FLOOR(D18,5)+2.5</f>
        <v>147.5</v>
      </c>
      <c r="H18">
        <f>5+H17</f>
        <v>57.5</v>
      </c>
      <c r="I18" s="2">
        <f>I5/100</f>
        <v>0</v>
      </c>
      <c r="J18" s="2">
        <f>J5/100</f>
        <v>1.e-002</v>
      </c>
      <c r="K18" s="2">
        <f>K5/100</f>
        <v>1.e-002</v>
      </c>
      <c r="L18" s="2">
        <f>L5/100</f>
        <v>5.9999999999999998e-002</v>
      </c>
      <c r="M18" s="2">
        <f>M5/100</f>
        <v>2.9999999999999999e-002</v>
      </c>
      <c r="N18" s="2">
        <f>N5/100</f>
        <v>2.e-002</v>
      </c>
      <c r="O18" s="2">
        <f>O5/100</f>
        <v>1.e-002</v>
      </c>
      <c r="P18" s="2">
        <f>P5/100</f>
        <v>2.9999999999999999e-002</v>
      </c>
      <c r="Q18" s="2">
        <f>Q5/100</f>
        <v>0</v>
      </c>
      <c r="R18" s="2">
        <f>R5/100</f>
        <v>0</v>
      </c>
      <c r="S18">
        <f>SUM(I18:R18)</f>
        <v>0.17000000000000001</v>
      </c>
      <c r="T18">
        <f>S18*H18</f>
        <v>9.7750000000000004</v>
      </c>
    </row>
    <row r="19" ht="14.25">
      <c r="A19" s="3" t="s">
        <v>25</v>
      </c>
      <c r="C19">
        <f ca="1">_xlfn.NORM.INV(RAND(),65,7)</f>
        <v>66.872500109843671</v>
      </c>
      <c r="D19">
        <f ca="1">_xlfn.NORM.INV(RAND(),160,10)</f>
        <v>168.46117906106889</v>
      </c>
      <c r="E19">
        <f>FLOOR(C19,5)+2.5</f>
        <v>67.5</v>
      </c>
      <c r="F19" s="2">
        <f>FLOOR(D19,5)+2.5</f>
        <v>167.5</v>
      </c>
      <c r="H19">
        <f>5+H18</f>
        <v>62.5</v>
      </c>
      <c r="I19" s="2">
        <f>I6/100</f>
        <v>4.0000000000000001e-002</v>
      </c>
      <c r="J19" s="2">
        <f>J6/100</f>
        <v>1.e-002</v>
      </c>
      <c r="K19" s="2">
        <f>K6/100</f>
        <v>5.0000000000000003e-002</v>
      </c>
      <c r="L19" s="2">
        <f>L6/100</f>
        <v>2.9999999999999999e-002</v>
      </c>
      <c r="M19" s="2">
        <f>M6/100</f>
        <v>5.0000000000000003e-002</v>
      </c>
      <c r="N19" s="2">
        <f>N6/100</f>
        <v>8.9999999999999997e-002</v>
      </c>
      <c r="O19" s="2">
        <f>O6/100</f>
        <v>2.e-002</v>
      </c>
      <c r="P19" s="2">
        <f>P6/100</f>
        <v>2.e-002</v>
      </c>
      <c r="Q19" s="2">
        <f>Q6/100</f>
        <v>0</v>
      </c>
      <c r="R19" s="2">
        <f>R6/100</f>
        <v>0</v>
      </c>
      <c r="S19">
        <f>SUM(I19:R19)</f>
        <v>0.31000000000000005</v>
      </c>
      <c r="T19">
        <f>S19*H19</f>
        <v>19.375000000000004</v>
      </c>
    </row>
    <row r="20" ht="14.25">
      <c r="A20" s="3" t="s">
        <v>26</v>
      </c>
      <c r="C20">
        <f ca="1">_xlfn.NORM.INV(RAND(),65,7)</f>
        <v>59.237001231481187</v>
      </c>
      <c r="D20">
        <f ca="1">_xlfn.NORM.INV(RAND(),160,10)</f>
        <v>168.43790029577292</v>
      </c>
      <c r="E20">
        <f>FLOOR(C20,5)+2.5</f>
        <v>57.5</v>
      </c>
      <c r="F20" s="2">
        <f>FLOOR(D20,5)+2.5</f>
        <v>167.5</v>
      </c>
      <c r="H20">
        <f>5+H19</f>
        <v>67.5</v>
      </c>
      <c r="I20" s="2">
        <f>I7/100</f>
        <v>4.0000000000000001e-002</v>
      </c>
      <c r="J20" s="2">
        <f>J7/100</f>
        <v>2.e-002</v>
      </c>
      <c r="K20" s="2">
        <f>K7/100</f>
        <v>5.0000000000000003e-002</v>
      </c>
      <c r="L20" s="2">
        <f>L7/100</f>
        <v>0</v>
      </c>
      <c r="M20" s="2">
        <f>M7/100</f>
        <v>4.0000000000000001e-002</v>
      </c>
      <c r="N20" s="2">
        <f>N7/100</f>
        <v>2.9999999999999999e-002</v>
      </c>
      <c r="O20" s="2">
        <f>O7/100</f>
        <v>2.9999999999999999e-002</v>
      </c>
      <c r="P20" s="2">
        <f>P7/100</f>
        <v>0</v>
      </c>
      <c r="Q20" s="2">
        <f>Q7/100</f>
        <v>1.e-002</v>
      </c>
      <c r="R20" s="2">
        <f>R7/100</f>
        <v>0</v>
      </c>
      <c r="S20">
        <f>SUM(I20:R20)</f>
        <v>0.22</v>
      </c>
      <c r="T20">
        <f>S20*H20</f>
        <v>14.85</v>
      </c>
    </row>
    <row r="21" ht="14.25">
      <c r="A21" s="3" t="s">
        <v>27</v>
      </c>
      <c r="C21">
        <f ca="1">_xlfn.NORM.INV(RAND(),65,7)</f>
        <v>71.314174640420262</v>
      </c>
      <c r="D21">
        <f ca="1">_xlfn.NORM.INV(RAND(),160,10)</f>
        <v>138.05598931059157</v>
      </c>
      <c r="E21">
        <f>FLOOR(C21,5)+2.5</f>
        <v>72.5</v>
      </c>
      <c r="F21" s="2">
        <f>FLOOR(D21,5)+2.5</f>
        <v>137.5</v>
      </c>
      <c r="H21">
        <f>5+H20</f>
        <v>72.5</v>
      </c>
      <c r="I21" s="2">
        <f>I8/100</f>
        <v>0</v>
      </c>
      <c r="J21" s="2">
        <f>J8/100</f>
        <v>2.e-002</v>
      </c>
      <c r="K21" s="2">
        <f>K8/100</f>
        <v>2.9999999999999999e-002</v>
      </c>
      <c r="L21" s="2">
        <f>L8/100</f>
        <v>2.9999999999999999e-002</v>
      </c>
      <c r="M21" s="2">
        <f>M8/100</f>
        <v>2.9999999999999999e-002</v>
      </c>
      <c r="N21" s="2">
        <f>N8/100</f>
        <v>4.0000000000000001e-002</v>
      </c>
      <c r="O21" s="2">
        <f>O8/100</f>
        <v>0</v>
      </c>
      <c r="P21" s="2">
        <f>P8/100</f>
        <v>0</v>
      </c>
      <c r="Q21" s="2">
        <f>Q8/100</f>
        <v>0</v>
      </c>
      <c r="R21" s="2">
        <f>R8/100</f>
        <v>0</v>
      </c>
      <c r="S21">
        <f>SUM(I21:R21)</f>
        <v>0.14999999999999999</v>
      </c>
      <c r="T21">
        <f>S21*H21</f>
        <v>10.875</v>
      </c>
    </row>
    <row r="22" ht="14.25">
      <c r="A22" s="3" t="s">
        <v>28</v>
      </c>
      <c r="C22">
        <f ca="1">_xlfn.NORM.INV(RAND(),65,7)</f>
        <v>59.628123181959864</v>
      </c>
      <c r="D22">
        <f ca="1">_xlfn.NORM.INV(RAND(),160,10)</f>
        <v>176.69184626219297</v>
      </c>
      <c r="E22">
        <f>FLOOR(C22,5)+2.5</f>
        <v>57.5</v>
      </c>
      <c r="F22" s="2">
        <f>FLOOR(D22,5)+2.5</f>
        <v>177.5</v>
      </c>
      <c r="H22">
        <f>5+H21</f>
        <v>77.5</v>
      </c>
      <c r="I22" s="2">
        <f>I9/100</f>
        <v>0</v>
      </c>
      <c r="J22" s="2">
        <f>J9/100</f>
        <v>1.e-002</v>
      </c>
      <c r="K22" s="2">
        <f>K9/100</f>
        <v>0</v>
      </c>
      <c r="L22" s="2">
        <f>L9/100</f>
        <v>1.e-002</v>
      </c>
      <c r="M22" s="2">
        <f>M9/100</f>
        <v>1.e-002</v>
      </c>
      <c r="N22" s="2">
        <f>N9/100</f>
        <v>1.e-002</v>
      </c>
      <c r="O22" s="2">
        <f>O9/100</f>
        <v>1.e-002</v>
      </c>
      <c r="P22" s="2">
        <f>P9/100</f>
        <v>0</v>
      </c>
      <c r="Q22" s="2">
        <f>Q9/100</f>
        <v>0</v>
      </c>
      <c r="R22" s="2">
        <f>R9/100</f>
        <v>0</v>
      </c>
      <c r="S22">
        <f>SUM(I22:R22)</f>
        <v>5.0000000000000003e-002</v>
      </c>
      <c r="T22">
        <f>S22*H22</f>
        <v>3.875</v>
      </c>
    </row>
    <row r="23" ht="14.25">
      <c r="A23" s="3" t="s">
        <v>29</v>
      </c>
      <c r="C23">
        <f ca="1">_xlfn.NORM.INV(RAND(),65,7)</f>
        <v>57.949030141613058</v>
      </c>
      <c r="D23">
        <f ca="1">_xlfn.NORM.INV(RAND(),160,10)</f>
        <v>157.24064595128576</v>
      </c>
      <c r="E23">
        <f>FLOOR(C23,5)+2.5</f>
        <v>57.5</v>
      </c>
      <c r="F23" s="2">
        <f>FLOOR(D23,5)+2.5</f>
        <v>157.5</v>
      </c>
      <c r="H23">
        <f>5+H22</f>
        <v>82.5</v>
      </c>
      <c r="I23" s="2">
        <f>I10/100</f>
        <v>0</v>
      </c>
      <c r="J23" s="2">
        <f>J10/100</f>
        <v>0</v>
      </c>
      <c r="K23" s="2">
        <f>K10/100</f>
        <v>0</v>
      </c>
      <c r="L23" s="2">
        <f>L10/100</f>
        <v>0</v>
      </c>
      <c r="M23" s="2">
        <f>M10/100</f>
        <v>0</v>
      </c>
      <c r="N23" s="2">
        <f>N10/100</f>
        <v>1.e-002</v>
      </c>
      <c r="O23" s="2">
        <f>O10/100</f>
        <v>0</v>
      </c>
      <c r="P23" s="2">
        <f>P10/100</f>
        <v>0</v>
      </c>
      <c r="Q23" s="2">
        <f>Q10/100</f>
        <v>0</v>
      </c>
      <c r="R23" s="2">
        <f>R10/100</f>
        <v>0</v>
      </c>
      <c r="S23">
        <f>SUM(I23:R23)</f>
        <v>1.e-002</v>
      </c>
      <c r="T23">
        <f>S23*H23</f>
        <v>0.82500000000000007</v>
      </c>
    </row>
    <row r="24" ht="14.25">
      <c r="A24" s="3" t="s">
        <v>30</v>
      </c>
      <c r="C24">
        <f ca="1">_xlfn.NORM.INV(RAND(),65,7)</f>
        <v>72.56890068441011</v>
      </c>
      <c r="D24">
        <f ca="1">_xlfn.NORM.INV(RAND(),160,10)</f>
        <v>164.83743550490368</v>
      </c>
      <c r="E24">
        <f>FLOOR(C24,5)+2.5</f>
        <v>72.5</v>
      </c>
      <c r="F24" s="2">
        <f>FLOOR(D24,5)+2.5</f>
        <v>162.5</v>
      </c>
      <c r="H24" s="2">
        <f>5+H23</f>
        <v>87.5</v>
      </c>
      <c r="I24" s="2">
        <f>I11/100</f>
        <v>0</v>
      </c>
      <c r="J24" s="2">
        <f>J11/100</f>
        <v>0</v>
      </c>
      <c r="K24" s="2">
        <f>K11/100</f>
        <v>0</v>
      </c>
      <c r="L24" s="2">
        <f>L11/100</f>
        <v>0</v>
      </c>
      <c r="M24" s="2">
        <f>M11/100</f>
        <v>0</v>
      </c>
      <c r="N24" s="2">
        <f>N11/100</f>
        <v>0</v>
      </c>
      <c r="O24" s="2">
        <f>O11/100</f>
        <v>0</v>
      </c>
      <c r="P24" s="2">
        <f>P11/100</f>
        <v>0</v>
      </c>
      <c r="Q24" s="2">
        <f>Q11/100</f>
        <v>0</v>
      </c>
      <c r="R24" s="2">
        <f>R11/100</f>
        <v>0</v>
      </c>
      <c r="S24">
        <f>SUM(I24:R24)</f>
        <v>0</v>
      </c>
      <c r="T24">
        <f>S24*H24</f>
        <v>0</v>
      </c>
    </row>
    <row r="25" ht="14.25">
      <c r="A25" s="3" t="s">
        <v>31</v>
      </c>
      <c r="C25">
        <f ca="1">_xlfn.NORM.INV(RAND(),65,7)</f>
        <v>52.257366914361498</v>
      </c>
      <c r="D25">
        <f ca="1">_xlfn.NORM.INV(RAND(),160,10)</f>
        <v>151.74619088801481</v>
      </c>
      <c r="E25">
        <f>FLOOR(C25,5)+2.5</f>
        <v>52.5</v>
      </c>
      <c r="F25" s="2">
        <f>FLOOR(D25,5)+2.5</f>
        <v>152.5</v>
      </c>
      <c r="H25">
        <f>SUM(I25:R25)</f>
        <v>0.97000000000000008</v>
      </c>
      <c r="I25" s="4">
        <f>SUM(I15:I24)</f>
        <v>8.0000000000000002e-002</v>
      </c>
      <c r="J25" s="4">
        <f>SUM(J15:J24)</f>
        <v>6.9999999999999993e-002</v>
      </c>
      <c r="K25" s="4">
        <f>SUM(K15:K24)</f>
        <v>0.16</v>
      </c>
      <c r="L25" s="4">
        <f>SUM(L15:L24)</f>
        <v>0.16</v>
      </c>
      <c r="M25" s="4">
        <f>SUM(M15:M24)</f>
        <v>0.17000000000000001</v>
      </c>
      <c r="N25" s="4">
        <f>SUM(N15:N24)</f>
        <v>0.20000000000000004</v>
      </c>
      <c r="O25" s="4">
        <f>SUM(O15:O24)</f>
        <v>6.9999999999999993e-002</v>
      </c>
      <c r="P25" s="4">
        <f>SUM(P15:P24)</f>
        <v>5.0000000000000003e-002</v>
      </c>
      <c r="Q25" s="4">
        <f>SUM(Q15:Q24)</f>
        <v>1.e-002</v>
      </c>
      <c r="R25" s="4">
        <f>SUM(R15:R24)</f>
        <v>0</v>
      </c>
      <c r="T25">
        <f>SUM(T15:T24)</f>
        <v>62.675000000000004</v>
      </c>
    </row>
    <row r="26" ht="14.25">
      <c r="A26" s="3" t="s">
        <v>32</v>
      </c>
      <c r="C26">
        <f ca="1">_xlfn.NORM.INV(RAND(),65,7)</f>
        <v>59.884371190332757</v>
      </c>
      <c r="D26">
        <f ca="1">_xlfn.NORM.INV(RAND(),160,10)</f>
        <v>156.34311334213956</v>
      </c>
      <c r="E26">
        <f>FLOOR(C26,5)+2.5</f>
        <v>57.5</v>
      </c>
      <c r="F26" s="2">
        <f>FLOOR(D26,5)+2.5</f>
        <v>157.5</v>
      </c>
      <c r="H26" s="2">
        <f>SUM(I26:R26)</f>
        <v>155.22499999999999</v>
      </c>
      <c r="I26">
        <f>I25*I14</f>
        <v>11.4</v>
      </c>
      <c r="J26">
        <f>J25*J14</f>
        <v>10.324999999999999</v>
      </c>
      <c r="K26">
        <f>K25*K14</f>
        <v>24.400000000000002</v>
      </c>
      <c r="L26">
        <f>L25*L14</f>
        <v>25.199999999999999</v>
      </c>
      <c r="M26">
        <f>M25*M14</f>
        <v>27.625000000000004</v>
      </c>
      <c r="N26">
        <f>N25*N14</f>
        <v>33.500000000000007</v>
      </c>
      <c r="O26">
        <f>O25*O14</f>
        <v>12.074999999999999</v>
      </c>
      <c r="P26">
        <f>P25*P14</f>
        <v>8.875</v>
      </c>
      <c r="Q26">
        <f>Q25*Q14</f>
        <v>1.825</v>
      </c>
      <c r="R26">
        <f>R25*R14</f>
        <v>0</v>
      </c>
      <c r="S26">
        <f>SUM(I26:R26)</f>
        <v>155.22499999999999</v>
      </c>
      <c r="T26">
        <f>H26*T14</f>
        <v>9728.7268750000003</v>
      </c>
    </row>
    <row r="27" ht="14.25">
      <c r="A27" s="3" t="s">
        <v>33</v>
      </c>
      <c r="C27">
        <f ca="1">_xlfn.NORM.INV(RAND(),65,7)</f>
        <v>69.397585266662063</v>
      </c>
      <c r="D27">
        <f ca="1">_xlfn.NORM.INV(RAND(),160,10)</f>
        <v>161.7318998016587</v>
      </c>
      <c r="E27">
        <f>FLOOR(C27,5)+2.5</f>
        <v>67.5</v>
      </c>
      <c r="F27" s="2">
        <f>FLOOR(D27,5)+2.5</f>
        <v>162.5</v>
      </c>
      <c r="H27" s="2" t="s">
        <v>6</v>
      </c>
      <c r="I27" s="2">
        <v>142.5</v>
      </c>
      <c r="J27" s="2">
        <f>I27+5</f>
        <v>147.5</v>
      </c>
      <c r="K27" s="2">
        <f>J27+5</f>
        <v>152.5</v>
      </c>
      <c r="L27" s="2">
        <f>K27+5</f>
        <v>157.5</v>
      </c>
      <c r="M27" s="2">
        <f>L27+5</f>
        <v>162.5</v>
      </c>
      <c r="N27" s="2">
        <f>M27+5</f>
        <v>167.5</v>
      </c>
      <c r="O27" s="2">
        <f>N27+5</f>
        <v>172.5</v>
      </c>
      <c r="P27" s="2">
        <f>O27+5</f>
        <v>177.5</v>
      </c>
      <c r="Q27" s="2">
        <f>P27+5</f>
        <v>182.5</v>
      </c>
      <c r="R27" s="2">
        <f>Q27+5</f>
        <v>187.5</v>
      </c>
    </row>
    <row r="28" ht="14.25">
      <c r="A28" s="3" t="s">
        <v>34</v>
      </c>
      <c r="C28">
        <f ca="1">_xlfn.NORM.INV(RAND(),65,7)</f>
        <v>65.474812264952718</v>
      </c>
      <c r="D28">
        <f ca="1">_xlfn.NORM.INV(RAND(),160,10)</f>
        <v>153.01943313176</v>
      </c>
      <c r="E28">
        <f>FLOOR(C28,5)+2.5</f>
        <v>67.5</v>
      </c>
      <c r="F28" s="2">
        <f>FLOOR(D28,5)+2.5</f>
        <v>152.5</v>
      </c>
      <c r="H28" s="2">
        <v>42.5</v>
      </c>
      <c r="I28">
        <f>I15*$H15*I$14</f>
        <v>0</v>
      </c>
      <c r="J28">
        <f>J15*$H15*J$14</f>
        <v>0</v>
      </c>
      <c r="K28">
        <f>K15*$H15*K$14</f>
        <v>0</v>
      </c>
      <c r="L28">
        <f>L15*$H15*L$14</f>
        <v>0</v>
      </c>
      <c r="M28">
        <f>M15*$H15*M$14</f>
        <v>0</v>
      </c>
      <c r="N28">
        <f>N15*$H15*N$14</f>
        <v>0</v>
      </c>
      <c r="O28">
        <f>O15*$H15*O$14</f>
        <v>0</v>
      </c>
      <c r="P28">
        <f>P15*$H15*P$14</f>
        <v>0</v>
      </c>
      <c r="Q28">
        <f>Q15*$H15*Q$14</f>
        <v>0</v>
      </c>
      <c r="R28">
        <f>R15*$H15*R$14</f>
        <v>0</v>
      </c>
    </row>
    <row r="29" ht="14.25">
      <c r="A29" s="3" t="s">
        <v>35</v>
      </c>
      <c r="C29">
        <f ca="1">_xlfn.NORM.INV(RAND(),65,7)</f>
        <v>60.778947104882384</v>
      </c>
      <c r="D29">
        <f ca="1">_xlfn.NORM.INV(RAND(),160,10)</f>
        <v>165.211641065398</v>
      </c>
      <c r="E29">
        <f>FLOOR(C29,5)+2.5</f>
        <v>62.5</v>
      </c>
      <c r="F29" s="2">
        <f>FLOOR(D29,5)+2.5</f>
        <v>167.5</v>
      </c>
      <c r="H29" s="2">
        <f>5+H28</f>
        <v>47.5</v>
      </c>
      <c r="I29">
        <f>I16*$H16*I$14</f>
        <v>0</v>
      </c>
      <c r="J29">
        <f>J16*$H16*J$14</f>
        <v>0</v>
      </c>
      <c r="K29">
        <f>K16*$H16*K$14</f>
        <v>72.4375</v>
      </c>
      <c r="L29">
        <f>L16*$H16*L$14</f>
        <v>0</v>
      </c>
      <c r="M29">
        <f>M16*$H16*M$14</f>
        <v>0</v>
      </c>
      <c r="N29">
        <f>N16*$H16*N$14</f>
        <v>0</v>
      </c>
      <c r="O29">
        <f>O16*$H16*O$14</f>
        <v>0</v>
      </c>
      <c r="P29">
        <f>P16*$H16*P$14</f>
        <v>0</v>
      </c>
      <c r="Q29">
        <f>Q16*$H16*Q$14</f>
        <v>0</v>
      </c>
      <c r="R29">
        <f>R16*$H16*R$14</f>
        <v>0</v>
      </c>
    </row>
    <row r="30" ht="14.25">
      <c r="A30" s="3" t="s">
        <v>36</v>
      </c>
      <c r="C30">
        <f ca="1">_xlfn.NORM.INV(RAND(),65,7)</f>
        <v>69.120921915901135</v>
      </c>
      <c r="D30">
        <f ca="1">_xlfn.NORM.INV(RAND(),160,10)</f>
        <v>141.39072135218723</v>
      </c>
      <c r="E30">
        <f>FLOOR(C30,5)+2.5</f>
        <v>67.5</v>
      </c>
      <c r="F30" s="2">
        <f>FLOOR(D30,5)+2.5</f>
        <v>142.5</v>
      </c>
      <c r="H30" s="2">
        <f>5+H29</f>
        <v>52.5</v>
      </c>
      <c r="I30">
        <f>I17*$H17*I$14</f>
        <v>0</v>
      </c>
      <c r="J30">
        <f>J17*$H17*J$14</f>
        <v>0</v>
      </c>
      <c r="K30">
        <f>K17*$H17*K$14</f>
        <v>80.0625</v>
      </c>
      <c r="L30">
        <f>L17*$H17*L$14</f>
        <v>248.0625</v>
      </c>
      <c r="M30">
        <f>M17*$H17*M$14</f>
        <v>85.3125</v>
      </c>
      <c r="N30">
        <f>N17*$H17*N$14</f>
        <v>0</v>
      </c>
      <c r="O30">
        <f>O17*$H17*O$14</f>
        <v>0</v>
      </c>
      <c r="P30">
        <f>P17*$H17*P$14</f>
        <v>0</v>
      </c>
      <c r="Q30">
        <f>Q17*$H17*Q$14</f>
        <v>0</v>
      </c>
      <c r="R30">
        <f>R17*$H17*R$14</f>
        <v>0</v>
      </c>
    </row>
    <row r="31" ht="14.25">
      <c r="A31" s="3" t="s">
        <v>37</v>
      </c>
      <c r="C31">
        <f ca="1">_xlfn.NORM.INV(RAND(),65,7)</f>
        <v>73.251522913964919</v>
      </c>
      <c r="D31">
        <f ca="1">_xlfn.NORM.INV(RAND(),160,10)</f>
        <v>167.0554500802273</v>
      </c>
      <c r="E31">
        <f>FLOOR(C31,5)+2.5</f>
        <v>72.5</v>
      </c>
      <c r="F31" s="2">
        <f>FLOOR(D31,5)+2.5</f>
        <v>167.5</v>
      </c>
      <c r="H31" s="2">
        <f>5+H30</f>
        <v>57.5</v>
      </c>
      <c r="I31">
        <f>I18*$H18*I$14</f>
        <v>0</v>
      </c>
      <c r="J31">
        <f>J18*$H18*J$14</f>
        <v>84.812500000000014</v>
      </c>
      <c r="K31">
        <f>K18*$H18*K$14</f>
        <v>87.687500000000014</v>
      </c>
      <c r="L31">
        <f>L18*$H18*L$14</f>
        <v>543.375</v>
      </c>
      <c r="M31">
        <f>M18*$H18*M$14</f>
        <v>280.3125</v>
      </c>
      <c r="N31">
        <f>N18*$H18*N$14</f>
        <v>192.62500000000003</v>
      </c>
      <c r="O31">
        <f>O18*$H18*O$14</f>
        <v>99.187500000000014</v>
      </c>
      <c r="P31">
        <f>P18*$H18*P$14</f>
        <v>306.1875</v>
      </c>
      <c r="Q31">
        <f>Q18*$H18*Q$14</f>
        <v>0</v>
      </c>
      <c r="R31">
        <f>R18*$H18*R$14</f>
        <v>0</v>
      </c>
    </row>
    <row r="32" ht="14.25">
      <c r="A32" s="3" t="s">
        <v>38</v>
      </c>
      <c r="C32">
        <f ca="1">_xlfn.NORM.INV(RAND(),65,7)</f>
        <v>58.44116885032205</v>
      </c>
      <c r="D32">
        <f ca="1">_xlfn.NORM.INV(RAND(),160,10)</f>
        <v>154.38808301313659</v>
      </c>
      <c r="E32">
        <f>FLOOR(C32,5)+2.5</f>
        <v>57.5</v>
      </c>
      <c r="F32" s="2">
        <f>FLOOR(D32,5)+2.5</f>
        <v>152.5</v>
      </c>
      <c r="H32" s="2">
        <f>5+H31</f>
        <v>62.5</v>
      </c>
      <c r="I32">
        <f>I19*$H19*I$14</f>
        <v>356.25</v>
      </c>
      <c r="J32">
        <f>J19*$H19*J$14</f>
        <v>92.1875</v>
      </c>
      <c r="K32">
        <f>K19*$H19*K$14</f>
        <v>476.5625</v>
      </c>
      <c r="L32">
        <f>L19*$H19*L$14</f>
        <v>295.3125</v>
      </c>
      <c r="M32">
        <f>M19*$H19*M$14</f>
        <v>507.8125</v>
      </c>
      <c r="N32">
        <f>N19*$H19*N$14</f>
        <v>942.1875</v>
      </c>
      <c r="O32">
        <f>O19*$H19*O$14</f>
        <v>215.625</v>
      </c>
      <c r="P32">
        <f>P19*$H19*P$14</f>
        <v>221.875</v>
      </c>
      <c r="Q32">
        <f>Q19*$H19*Q$14</f>
        <v>0</v>
      </c>
      <c r="R32">
        <f>R19*$H19*R$14</f>
        <v>0</v>
      </c>
    </row>
    <row r="33" ht="14.25">
      <c r="A33" s="3" t="s">
        <v>39</v>
      </c>
      <c r="C33">
        <f ca="1">_xlfn.NORM.INV(RAND(),65,7)</f>
        <v>64.117575238505097</v>
      </c>
      <c r="D33">
        <f ca="1">_xlfn.NORM.INV(RAND(),160,10)</f>
        <v>158.10572036948028</v>
      </c>
      <c r="E33">
        <f>FLOOR(C33,5)+2.5</f>
        <v>62.5</v>
      </c>
      <c r="F33" s="2">
        <f>FLOOR(D33,5)+2.5</f>
        <v>157.5</v>
      </c>
      <c r="H33" s="2">
        <f>5+H32</f>
        <v>67.5</v>
      </c>
      <c r="I33">
        <f>I20*$H20*I$14</f>
        <v>384.75</v>
      </c>
      <c r="J33">
        <f>J20*$H20*J$14</f>
        <v>199.125</v>
      </c>
      <c r="K33">
        <f>K20*$H20*K$14</f>
        <v>514.6875</v>
      </c>
      <c r="L33">
        <f>L20*$H20*L$14</f>
        <v>0</v>
      </c>
      <c r="M33">
        <f>M20*$H20*M$14</f>
        <v>438.75000000000006</v>
      </c>
      <c r="N33">
        <f>N20*$H20*N$14</f>
        <v>339.1875</v>
      </c>
      <c r="O33">
        <f>O20*$H20*O$14</f>
        <v>349.3125</v>
      </c>
      <c r="P33">
        <f>P20*$H20*P$14</f>
        <v>0</v>
      </c>
      <c r="Q33">
        <f>Q20*$H20*Q$14</f>
        <v>123.18750000000001</v>
      </c>
      <c r="R33">
        <f>R20*$H20*R$14</f>
        <v>0</v>
      </c>
    </row>
    <row r="34" ht="14.25">
      <c r="A34" s="3" t="s">
        <v>40</v>
      </c>
      <c r="C34">
        <f ca="1">_xlfn.NORM.INV(RAND(),65,7)</f>
        <v>63.892226253844555</v>
      </c>
      <c r="D34">
        <f ca="1">_xlfn.NORM.INV(RAND(),160,10)</f>
        <v>141.21494645419364</v>
      </c>
      <c r="E34">
        <f>FLOOR(C34,5)+2.5</f>
        <v>62.5</v>
      </c>
      <c r="F34" s="2">
        <f>FLOOR(D34,5)+2.5</f>
        <v>142.5</v>
      </c>
      <c r="H34" s="2">
        <f>5+H33</f>
        <v>72.5</v>
      </c>
      <c r="I34">
        <f>I21*$H21*I$14</f>
        <v>0</v>
      </c>
      <c r="J34">
        <f>J21*$H21*J$14</f>
        <v>213.875</v>
      </c>
      <c r="K34">
        <f>K21*$H21*K$14</f>
        <v>331.6875</v>
      </c>
      <c r="L34">
        <f>L21*$H21*L$14</f>
        <v>342.5625</v>
      </c>
      <c r="M34">
        <f>M21*$H21*M$14</f>
        <v>353.43749999999994</v>
      </c>
      <c r="N34">
        <f>N21*$H21*N$14</f>
        <v>485.75</v>
      </c>
      <c r="O34">
        <f>O21*$H21*O$14</f>
        <v>0</v>
      </c>
      <c r="P34">
        <f>P21*$H21*P$14</f>
        <v>0</v>
      </c>
      <c r="Q34">
        <f>Q21*$H21*Q$14</f>
        <v>0</v>
      </c>
      <c r="R34">
        <f>R21*$H21*R$14</f>
        <v>0</v>
      </c>
    </row>
    <row r="35" ht="14.25">
      <c r="A35" s="3" t="s">
        <v>41</v>
      </c>
      <c r="C35">
        <f ca="1">_xlfn.NORM.INV(RAND(),65,7)</f>
        <v>68.91636796881204</v>
      </c>
      <c r="D35">
        <f ca="1">_xlfn.NORM.INV(RAND(),160,10)</f>
        <v>162.67085343466078</v>
      </c>
      <c r="E35">
        <f>FLOOR(C35,5)+2.5</f>
        <v>67.5</v>
      </c>
      <c r="F35" s="2">
        <f>FLOOR(D35,5)+2.5</f>
        <v>162.5</v>
      </c>
      <c r="H35" s="2">
        <f>5+H34</f>
        <v>77.5</v>
      </c>
      <c r="I35">
        <f>I22*$H22*I$14</f>
        <v>0</v>
      </c>
      <c r="J35">
        <f>J22*$H22*J$14</f>
        <v>114.3125</v>
      </c>
      <c r="K35">
        <f>K22*$H22*K$14</f>
        <v>0</v>
      </c>
      <c r="L35">
        <f>L22*$H22*L$14</f>
        <v>122.0625</v>
      </c>
      <c r="M35">
        <f>M22*$H22*M$14</f>
        <v>125.9375</v>
      </c>
      <c r="N35">
        <f>N22*$H22*N$14</f>
        <v>129.8125</v>
      </c>
      <c r="O35">
        <f>O22*$H22*O$14</f>
        <v>133.6875</v>
      </c>
      <c r="P35">
        <f>P22*$H22*P$14</f>
        <v>0</v>
      </c>
      <c r="Q35">
        <f>Q22*$H22*Q$14</f>
        <v>0</v>
      </c>
      <c r="R35">
        <f>R22*$H22*R$14</f>
        <v>0</v>
      </c>
    </row>
    <row r="36" ht="14.25">
      <c r="A36" s="3" t="s">
        <v>42</v>
      </c>
      <c r="C36">
        <f ca="1">_xlfn.NORM.INV(RAND(),65,7)</f>
        <v>65.254592960856996</v>
      </c>
      <c r="D36">
        <f ca="1">_xlfn.NORM.INV(RAND(),160,10)</f>
        <v>140.63124038008246</v>
      </c>
      <c r="E36">
        <f>FLOOR(C36,5)+2.5</f>
        <v>67.5</v>
      </c>
      <c r="F36" s="2">
        <f>FLOOR(D36,5)+2.5</f>
        <v>142.5</v>
      </c>
      <c r="H36" s="2">
        <f>5+H35</f>
        <v>82.5</v>
      </c>
      <c r="I36">
        <f>I23*$H23*I$14</f>
        <v>0</v>
      </c>
      <c r="J36">
        <f>J23*$H23*J$14</f>
        <v>0</v>
      </c>
      <c r="K36">
        <f>K23*$H23*K$14</f>
        <v>0</v>
      </c>
      <c r="L36">
        <f>L23*$H23*L$14</f>
        <v>0</v>
      </c>
      <c r="M36">
        <f>M23*$H23*M$14</f>
        <v>0</v>
      </c>
      <c r="N36">
        <f>N23*$H23*N$14</f>
        <v>138.1875</v>
      </c>
      <c r="O36">
        <f>O23*$H23*O$14</f>
        <v>0</v>
      </c>
      <c r="P36">
        <f>P23*$H23*P$14</f>
        <v>0</v>
      </c>
      <c r="Q36">
        <f>Q23*$H23*Q$14</f>
        <v>0</v>
      </c>
      <c r="R36">
        <f>R23*$H23*R$14</f>
        <v>0</v>
      </c>
    </row>
    <row r="37" ht="14.25">
      <c r="A37" s="3" t="s">
        <v>43</v>
      </c>
      <c r="C37">
        <f ca="1">_xlfn.NORM.INV(RAND(),65,7)</f>
        <v>70.416290253769347</v>
      </c>
      <c r="D37">
        <f ca="1">_xlfn.NORM.INV(RAND(),160,10)</f>
        <v>156.07697415185322</v>
      </c>
      <c r="E37">
        <f>FLOOR(C37,5)+2.5</f>
        <v>72.5</v>
      </c>
      <c r="F37" s="2">
        <f>FLOOR(D37,5)+2.5</f>
        <v>157.5</v>
      </c>
      <c r="H37" s="2">
        <f>5+H36</f>
        <v>87.5</v>
      </c>
      <c r="I37">
        <f>I24*$H24*I$14</f>
        <v>0</v>
      </c>
      <c r="J37">
        <f>J24*$H24*J$14</f>
        <v>0</v>
      </c>
      <c r="K37">
        <f>K24*$H24*K$14</f>
        <v>0</v>
      </c>
      <c r="L37">
        <f>L24*$H24*L$14</f>
        <v>0</v>
      </c>
      <c r="M37">
        <f>M24*$H24*M$14</f>
        <v>0</v>
      </c>
      <c r="N37">
        <f>N24*$H24*N$14</f>
        <v>0</v>
      </c>
      <c r="O37">
        <f>O24*$H24*O$14</f>
        <v>0</v>
      </c>
      <c r="P37">
        <f>P24*$H24*P$14</f>
        <v>0</v>
      </c>
      <c r="Q37">
        <f>Q24*$H24*Q$14</f>
        <v>0</v>
      </c>
      <c r="R37">
        <f>R24*$H24*R$14</f>
        <v>0</v>
      </c>
    </row>
    <row r="38" ht="14.25">
      <c r="A38" s="3" t="s">
        <v>44</v>
      </c>
      <c r="C38">
        <f ca="1">_xlfn.NORM.INV(RAND(),65,7)</f>
        <v>69.674840581417271</v>
      </c>
      <c r="D38">
        <f ca="1">_xlfn.NORM.INV(RAND(),160,10)</f>
        <v>154.55128174651875</v>
      </c>
      <c r="E38">
        <f>FLOOR(C38,5)+2.5</f>
        <v>67.5</v>
      </c>
      <c r="F38" s="2">
        <f>FLOOR(D38,5)+2.5</f>
        <v>152.5</v>
      </c>
      <c r="H38" t="s">
        <v>45</v>
      </c>
      <c r="S38">
        <f>SUM(I28:R37)</f>
        <v>10028.1875</v>
      </c>
    </row>
    <row r="39" ht="14.25">
      <c r="A39" s="3" t="s">
        <v>46</v>
      </c>
      <c r="C39">
        <f ca="1">_xlfn.NORM.INV(RAND(),65,7)</f>
        <v>54.074356638823666</v>
      </c>
      <c r="D39">
        <f ca="1">_xlfn.NORM.INV(RAND(),160,10)</f>
        <v>159.270767750571</v>
      </c>
      <c r="E39">
        <f>FLOOR(C39,5)+2.5</f>
        <v>52.5</v>
      </c>
      <c r="F39" s="2">
        <f>FLOOR(D39,5)+2.5</f>
        <v>157.5</v>
      </c>
      <c r="H39" s="2" t="s">
        <v>6</v>
      </c>
      <c r="I39" s="2">
        <v>142.5</v>
      </c>
      <c r="J39" s="2">
        <f>I39+5</f>
        <v>147.5</v>
      </c>
      <c r="K39" s="2">
        <f>J39+5</f>
        <v>152.5</v>
      </c>
      <c r="L39" s="2">
        <f>K39+5</f>
        <v>157.5</v>
      </c>
      <c r="M39" s="2">
        <f>L39+5</f>
        <v>162.5</v>
      </c>
      <c r="N39" s="2">
        <f>M39+5</f>
        <v>167.5</v>
      </c>
      <c r="O39" s="2">
        <f>N39+5</f>
        <v>172.5</v>
      </c>
      <c r="P39" s="2">
        <f>O39+5</f>
        <v>177.5</v>
      </c>
      <c r="Q39" s="2">
        <f>P39+5</f>
        <v>182.5</v>
      </c>
      <c r="R39" s="2">
        <f>Q39+5</f>
        <v>187.5</v>
      </c>
      <c r="T39">
        <f>S38-(T25*S26)</f>
        <v>299.46062499999971</v>
      </c>
    </row>
    <row r="40" ht="14.25">
      <c r="A40" s="3" t="s">
        <v>47</v>
      </c>
      <c r="C40">
        <f ca="1">_xlfn.NORM.INV(RAND(),65,7)</f>
        <v>63.366703476741392</v>
      </c>
      <c r="D40">
        <f ca="1">_xlfn.NORM.INV(RAND(),160,10)</f>
        <v>172.44384180710904</v>
      </c>
      <c r="E40">
        <f>FLOOR(C40,5)+2.5</f>
        <v>62.5</v>
      </c>
      <c r="F40" s="2">
        <f>FLOOR(D40,5)+2.5</f>
        <v>172.5</v>
      </c>
      <c r="H40" s="2">
        <v>42.5</v>
      </c>
      <c r="I40">
        <f>I15*($H40-$E$105)*(I$39-$F$105)</f>
        <v>0</v>
      </c>
      <c r="J40">
        <f>J15*($H40-$E$105)*(J$39-$F$105)</f>
        <v>0</v>
      </c>
      <c r="K40">
        <f>K15*($H40-$E$105)*(K$39-$F$105)</f>
        <v>0</v>
      </c>
      <c r="L40">
        <f>L15*($H40-$E$105)*(L$39-$F$105)</f>
        <v>0</v>
      </c>
      <c r="M40">
        <f>M15*($H40-$E$105)*(M$39-$F$105)</f>
        <v>0</v>
      </c>
      <c r="N40">
        <f>N15*($H40-$E$105)*(N$39-$F$105)</f>
        <v>0</v>
      </c>
      <c r="O40">
        <f>O15*($H40-$E$105)*(O$39-$F$105)</f>
        <v>0</v>
      </c>
      <c r="P40">
        <f>P15*($H40-$E$105)*(P$39-$F$105)</f>
        <v>0</v>
      </c>
      <c r="Q40">
        <f>Q15*($H40-$E$105)*(Q$39-$F$105)</f>
        <v>0</v>
      </c>
      <c r="R40">
        <f>R15*($H40-$E$105)*(R$39-$F$105)</f>
        <v>0</v>
      </c>
    </row>
    <row r="41" ht="14.25">
      <c r="A41" s="3" t="s">
        <v>48</v>
      </c>
      <c r="C41">
        <f ca="1">_xlfn.NORM.INV(RAND(),65,7)</f>
        <v>56.691487926878899</v>
      </c>
      <c r="D41">
        <f ca="1">_xlfn.NORM.INV(RAND(),160,10)</f>
        <v>149.97833877483802</v>
      </c>
      <c r="E41">
        <f>FLOOR(C41,5)+2.5</f>
        <v>57.5</v>
      </c>
      <c r="F41" s="2">
        <f>FLOOR(D41,5)+2.5</f>
        <v>147.5</v>
      </c>
      <c r="H41" s="2">
        <f>5+H40</f>
        <v>47.5</v>
      </c>
      <c r="I41">
        <f>I16*($H41-$E$105)*(I$39-$F$105)</f>
        <v>0</v>
      </c>
      <c r="J41">
        <f>J16*($H41-$E$105)*(J$39-$F$105)</f>
        <v>0</v>
      </c>
      <c r="K41">
        <f>K16*($H41-$E$105)*(K$39-$F$105)</f>
        <v>1.1576250000000006</v>
      </c>
      <c r="L41">
        <f>L16*($H41-$E$105)*(L$39-$F$105)</f>
        <v>0</v>
      </c>
      <c r="M41">
        <f>M16*($H41-$E$105)*(M$39-$F$105)</f>
        <v>0</v>
      </c>
      <c r="N41">
        <f>N16*($H41-$E$105)*(N$39-$F$105)</f>
        <v>0</v>
      </c>
      <c r="O41">
        <f>O16*($H41-$E$105)*(O$39-$F$105)</f>
        <v>0</v>
      </c>
      <c r="P41">
        <f>P16*($H41-$E$105)*(P$39-$F$105)</f>
        <v>0</v>
      </c>
      <c r="Q41">
        <f>Q16*($H41-$E$105)*(Q$39-$F$105)</f>
        <v>0</v>
      </c>
      <c r="R41">
        <f>R16*($H41-$E$105)*(R$39-$F$105)</f>
        <v>0</v>
      </c>
    </row>
    <row r="42" ht="14.25">
      <c r="A42" s="3" t="s">
        <v>49</v>
      </c>
      <c r="C42">
        <f ca="1">_xlfn.NORM.INV(RAND(),65,7)</f>
        <v>57.351642462989794</v>
      </c>
      <c r="D42">
        <f ca="1">_xlfn.NORM.INV(RAND(),160,10)</f>
        <v>177.03522096492844</v>
      </c>
      <c r="E42">
        <f>FLOOR(C42,5)+2.5</f>
        <v>57.5</v>
      </c>
      <c r="F42" s="2">
        <f>FLOOR(D42,5)+2.5</f>
        <v>177.5</v>
      </c>
      <c r="H42" s="2">
        <f>5+H41</f>
        <v>52.5</v>
      </c>
      <c r="I42">
        <f>I17*($H42-$E$105)*(I$39-$F$105)</f>
        <v>0</v>
      </c>
      <c r="J42">
        <f>J17*($H42-$E$105)*(J$39-$F$105)</f>
        <v>0</v>
      </c>
      <c r="K42">
        <f>K17*($H42-$E$105)*(K$39-$F$105)</f>
        <v>0.82012500000000044</v>
      </c>
      <c r="L42">
        <f>L17*($H42-$E$105)*(L$39-$F$105)</f>
        <v>0.6378750000000003</v>
      </c>
      <c r="M42">
        <f>M17*($H42-$E$105)*(M$39-$F$105)</f>
        <v>-0.3948750000000002</v>
      </c>
      <c r="N42">
        <f>N17*($H42-$E$105)*(N$39-$F$105)</f>
        <v>0</v>
      </c>
      <c r="O42">
        <f>O17*($H42-$E$105)*(O$39-$F$105)</f>
        <v>0</v>
      </c>
      <c r="P42">
        <f>P17*($H42-$E$105)*(P$39-$F$105)</f>
        <v>0</v>
      </c>
      <c r="Q42">
        <f>Q17*($H42-$E$105)*(Q$39-$F$105)</f>
        <v>0</v>
      </c>
      <c r="R42">
        <f>R17*($H42-$E$105)*(R$39-$F$105)</f>
        <v>0</v>
      </c>
    </row>
    <row r="43" ht="14.25">
      <c r="A43" s="3" t="s">
        <v>50</v>
      </c>
      <c r="C43">
        <f ca="1">_xlfn.NORM.INV(RAND(),65,7)</f>
        <v>74.575961432984883</v>
      </c>
      <c r="D43">
        <f ca="1">_xlfn.NORM.INV(RAND(),160,10)</f>
        <v>167.32018427634105</v>
      </c>
      <c r="E43">
        <f>FLOOR(C43,5)+2.5</f>
        <v>72.5</v>
      </c>
      <c r="F43" s="2">
        <f>FLOOR(D43,5)+2.5</f>
        <v>167.5</v>
      </c>
      <c r="H43" s="2">
        <f>5+H42</f>
        <v>57.5</v>
      </c>
      <c r="I43">
        <f>I18*($H43-$E$105)*(I$39-$F$105)</f>
        <v>0</v>
      </c>
      <c r="J43">
        <f>J18*($H43-$E$105)*(J$39-$F$105)</f>
        <v>0.84012500000000079</v>
      </c>
      <c r="K43">
        <f>K18*($H43-$E$105)*(K$39-$F$105)</f>
        <v>0.48262500000000041</v>
      </c>
      <c r="L43">
        <f>L18*($H43-$E$105)*(L$39-$F$105)</f>
        <v>0.75075000000000058</v>
      </c>
      <c r="M43">
        <f>M18*($H43-$E$105)*(M$39-$F$105)</f>
        <v>-0.69712500000000055</v>
      </c>
      <c r="N43">
        <f>N18*($H43-$E$105)*(N$39-$F$105)</f>
        <v>-1.179750000000001</v>
      </c>
      <c r="O43">
        <f>O18*($H43-$E$105)*(O$39-$F$105)</f>
        <v>-0.94737500000000086</v>
      </c>
      <c r="P43">
        <f>P18*($H43-$E$105)*(P$39-$F$105)</f>
        <v>-3.9146250000000031</v>
      </c>
      <c r="Q43">
        <f>Q18*($H43-$E$105)*(Q$39-$F$105)</f>
        <v>0</v>
      </c>
      <c r="R43">
        <f>R18*($H43-$E$105)*(R$39-$F$105)</f>
        <v>0</v>
      </c>
    </row>
    <row r="44" ht="14.25">
      <c r="A44" s="3" t="s">
        <v>51</v>
      </c>
      <c r="C44">
        <f ca="1">_xlfn.NORM.INV(RAND(),65,7)</f>
        <v>62.251077810256497</v>
      </c>
      <c r="D44">
        <f ca="1">_xlfn.NORM.INV(RAND(),160,10)</f>
        <v>164.48378613729747</v>
      </c>
      <c r="E44">
        <f>FLOOR(C44,5)+2.5</f>
        <v>62.5</v>
      </c>
      <c r="F44" s="2">
        <f>FLOOR(D44,5)+2.5</f>
        <v>162.5</v>
      </c>
      <c r="H44" s="2">
        <f>5+H43</f>
        <v>62.5</v>
      </c>
      <c r="I44">
        <f>I19*($H44-$E$105)*(I$39-$F$105)</f>
        <v>1.4405000000000039</v>
      </c>
      <c r="J44">
        <f>J19*($H44-$E$105)*(J$39-$F$105)</f>
        <v>0.25262500000000065</v>
      </c>
      <c r="K44">
        <f>K19*($H44-$E$105)*(K$39-$F$105)</f>
        <v>0.72562500000000196</v>
      </c>
      <c r="L44">
        <f>L19*($H44-$E$105)*(L$39-$F$105)</f>
        <v>0.11287500000000029</v>
      </c>
      <c r="M44">
        <f>M19*($H44-$E$105)*(M$39-$F$105)</f>
        <v>-0.34937500000000093</v>
      </c>
      <c r="N44">
        <f>N19*($H44-$E$105)*(N$39-$F$105)</f>
        <v>-1.5963750000000041</v>
      </c>
      <c r="O44">
        <f>O19*($H44-$E$105)*(O$39-$F$105)</f>
        <v>-0.56975000000000153</v>
      </c>
      <c r="P44">
        <f>P19*($H44-$E$105)*(P$39-$F$105)</f>
        <v>-0.78475000000000206</v>
      </c>
      <c r="Q44">
        <f>Q19*($H44-$E$105)*(Q$39-$F$105)</f>
        <v>0</v>
      </c>
      <c r="R44">
        <f>R19*($H44-$E$105)*(R$39-$F$105)</f>
        <v>0</v>
      </c>
    </row>
    <row r="45" ht="14.25">
      <c r="A45" s="3" t="s">
        <v>52</v>
      </c>
      <c r="C45">
        <f ca="1">_xlfn.NORM.INV(RAND(),65,7)</f>
        <v>71.448865175684872</v>
      </c>
      <c r="D45">
        <f ca="1">_xlfn.NORM.INV(RAND(),160,10)</f>
        <v>162.42695386131001</v>
      </c>
      <c r="E45">
        <f>FLOOR(C45,5)+2.5</f>
        <v>72.5</v>
      </c>
      <c r="F45" s="2">
        <f>FLOOR(D45,5)+2.5</f>
        <v>162.5</v>
      </c>
      <c r="H45" s="2">
        <f>5+H44</f>
        <v>67.5</v>
      </c>
      <c r="I45">
        <f>I20*($H45-$E$105)*(I$39-$F$105)</f>
        <v>-1.9094999999999962</v>
      </c>
      <c r="J45">
        <f>J20*($H45-$E$105)*(J$39-$F$105)</f>
        <v>-0.66974999999999862</v>
      </c>
      <c r="K45">
        <f>K20*($H45-$E$105)*(K$39-$F$105)</f>
        <v>-0.96187499999999804</v>
      </c>
      <c r="L45">
        <f>L20*($H45-$E$105)*(L$39-$F$105)</f>
        <v>0</v>
      </c>
      <c r="M45">
        <f>M20*($H45-$E$105)*(M$39-$F$105)</f>
        <v>0.37049999999999927</v>
      </c>
      <c r="N45">
        <f>N20*($H45-$E$105)*(N$39-$F$105)</f>
        <v>0.70537499999999853</v>
      </c>
      <c r="O45">
        <f>O20*($H45-$E$105)*(O$39-$F$105)</f>
        <v>1.1328749999999976</v>
      </c>
      <c r="P45">
        <f>P20*($H45-$E$105)*(P$39-$F$105)</f>
        <v>0</v>
      </c>
      <c r="Q45">
        <f>Q20*($H45-$E$105)*(Q$39-$F$105)</f>
        <v>0.66262499999999869</v>
      </c>
      <c r="R45">
        <f>R20*($H45-$E$105)*(R$39-$F$105)</f>
        <v>0</v>
      </c>
    </row>
    <row r="46" ht="14.25">
      <c r="A46" s="3" t="s">
        <v>53</v>
      </c>
      <c r="C46">
        <f ca="1">_xlfn.NORM.INV(RAND(),65,7)</f>
        <v>55.935416806319211</v>
      </c>
      <c r="D46">
        <f ca="1">_xlfn.NORM.INV(RAND(),160,10)</f>
        <v>162.27350540111874</v>
      </c>
      <c r="E46">
        <f>FLOOR(C46,5)+2.5</f>
        <v>57.5</v>
      </c>
      <c r="F46" s="2">
        <f>FLOOR(D46,5)+2.5</f>
        <v>162.5</v>
      </c>
      <c r="H46" s="2">
        <f>5+H45</f>
        <v>72.5</v>
      </c>
      <c r="I46">
        <f>I21*($H46-$E$105)*(I$39-$F$105)</f>
        <v>0</v>
      </c>
      <c r="J46">
        <f>J21*($H46-$E$105)*(J$39-$F$105)</f>
        <v>-1.8447499999999988</v>
      </c>
      <c r="K46">
        <f>K21*($H46-$E$105)*(K$39-$F$105)</f>
        <v>-1.5896249999999987</v>
      </c>
      <c r="L46">
        <f>L21*($H46-$E$105)*(L$39-$F$105)</f>
        <v>-0.41212499999999969</v>
      </c>
      <c r="M46">
        <f>M21*($H46-$E$105)*(M$39-$F$105)</f>
        <v>0.76537499999999947</v>
      </c>
      <c r="N46">
        <f>N21*($H46-$E$105)*(N$39-$F$105)</f>
        <v>2.5904999999999982</v>
      </c>
      <c r="O46">
        <f>O21*($H46-$E$105)*(O$39-$F$105)</f>
        <v>0</v>
      </c>
      <c r="P46">
        <f>P21*($H46-$E$105)*(P$39-$F$105)</f>
        <v>0</v>
      </c>
      <c r="Q46">
        <f>Q21*($H46-$E$105)*(Q$39-$F$105)</f>
        <v>0</v>
      </c>
      <c r="R46">
        <f>R21*($H46-$E$105)*(R$39-$F$105)</f>
        <v>0</v>
      </c>
    </row>
    <row r="47" ht="14.25">
      <c r="A47" s="3" t="s">
        <v>54</v>
      </c>
      <c r="C47">
        <f ca="1">_xlfn.NORM.INV(RAND(),65,7)</f>
        <v>64.443844326217487</v>
      </c>
      <c r="D47">
        <f ca="1">_xlfn.NORM.INV(RAND(),160,10)</f>
        <v>151.6782168648686</v>
      </c>
      <c r="E47">
        <f>FLOOR(C47,5)+2.5</f>
        <v>62.5</v>
      </c>
      <c r="F47" s="2">
        <f>FLOOR(D47,5)+2.5</f>
        <v>152.5</v>
      </c>
      <c r="H47" s="2">
        <f>5+H46</f>
        <v>77.5</v>
      </c>
      <c r="I47">
        <f>I22*($H47-$E$105)*(I$39-$F$105)</f>
        <v>0</v>
      </c>
      <c r="J47">
        <f>J22*($H47-$E$105)*(J$39-$F$105)</f>
        <v>-1.5098749999999994</v>
      </c>
      <c r="K47">
        <f>K22*($H47-$E$105)*(K$39-$F$105)</f>
        <v>0</v>
      </c>
      <c r="L47">
        <f>L22*($H47-$E$105)*(L$39-$F$105)</f>
        <v>-0.22487499999999991</v>
      </c>
      <c r="M47">
        <f>M22*($H47-$E$105)*(M$39-$F$105)</f>
        <v>0.4176249999999998</v>
      </c>
      <c r="N47">
        <f>N22*($H47-$E$105)*(N$39-$F$105)</f>
        <v>1.0601249999999995</v>
      </c>
      <c r="O47">
        <f>O22*($H47-$E$105)*(O$39-$F$105)</f>
        <v>1.7026249999999994</v>
      </c>
      <c r="P47">
        <f>P22*($H47-$E$105)*(P$39-$F$105)</f>
        <v>0</v>
      </c>
      <c r="Q47">
        <f>Q22*($H47-$E$105)*(Q$39-$F$105)</f>
        <v>0</v>
      </c>
      <c r="R47">
        <f>R22*($H47-$E$105)*(R$39-$F$105)</f>
        <v>0</v>
      </c>
    </row>
    <row r="48" ht="14.25">
      <c r="A48" s="3" t="s">
        <v>55</v>
      </c>
      <c r="C48">
        <f ca="1">_xlfn.NORM.INV(RAND(),65,7)</f>
        <v>63.966895640859406</v>
      </c>
      <c r="D48">
        <f ca="1">_xlfn.NORM.INV(RAND(),160,10)</f>
        <v>141.21450162203837</v>
      </c>
      <c r="E48">
        <f>FLOOR(C48,5)+2.5</f>
        <v>62.5</v>
      </c>
      <c r="F48" s="2">
        <f>FLOOR(D48,5)+2.5</f>
        <v>142.5</v>
      </c>
      <c r="H48" s="2">
        <f>5+H47</f>
        <v>82.5</v>
      </c>
      <c r="I48">
        <f>I23*($H48-$E$105)*(I$39-$F$105)</f>
        <v>0</v>
      </c>
      <c r="J48">
        <f>J23*($H48-$E$105)*(J$39-$F$105)</f>
        <v>0</v>
      </c>
      <c r="K48">
        <f>K23*($H48-$E$105)*(K$39-$F$105)</f>
        <v>0</v>
      </c>
      <c r="L48">
        <f>L23*($H48-$E$105)*(L$39-$F$105)</f>
        <v>0</v>
      </c>
      <c r="M48">
        <f>M23*($H48-$E$105)*(M$39-$F$105)</f>
        <v>0</v>
      </c>
      <c r="N48">
        <f>N23*($H48-$E$105)*(N$39-$F$105)</f>
        <v>1.4726249999999994</v>
      </c>
      <c r="O48">
        <f>O23*($H48-$E$105)*(O$39-$F$105)</f>
        <v>0</v>
      </c>
      <c r="P48">
        <f>P23*($H48-$E$105)*(P$39-$F$105)</f>
        <v>0</v>
      </c>
      <c r="Q48">
        <f>Q23*($H48-$E$105)*(Q$39-$F$105)</f>
        <v>0</v>
      </c>
      <c r="R48">
        <f>R23*($H48-$E$105)*(R$39-$F$105)</f>
        <v>0</v>
      </c>
    </row>
    <row r="49" ht="14.25">
      <c r="A49" s="3" t="s">
        <v>56</v>
      </c>
      <c r="C49">
        <f ca="1">_xlfn.NORM.INV(RAND(),65,7)</f>
        <v>60.862384843867616</v>
      </c>
      <c r="D49">
        <f ca="1">_xlfn.NORM.INV(RAND(),160,10)</f>
        <v>178.59684591374958</v>
      </c>
      <c r="E49">
        <f>FLOOR(C49,5)+2.5</f>
        <v>62.5</v>
      </c>
      <c r="F49" s="2">
        <f>FLOOR(D49,5)+2.5</f>
        <v>177.5</v>
      </c>
      <c r="H49" s="2">
        <f>5+H48</f>
        <v>87.5</v>
      </c>
      <c r="I49">
        <f>I24*($H49-$E$105)*(I$39-$F$105)</f>
        <v>0</v>
      </c>
      <c r="J49">
        <f>J24*($H49-$E$105)*(J$39-$F$105)</f>
        <v>0</v>
      </c>
      <c r="K49">
        <f>K24*($H49-$E$105)*(K$39-$F$105)</f>
        <v>0</v>
      </c>
      <c r="L49">
        <f>L24*($H49-$E$105)*(L$39-$F$105)</f>
        <v>0</v>
      </c>
      <c r="M49">
        <f>M24*($H49-$E$105)*(M$39-$F$105)</f>
        <v>0</v>
      </c>
      <c r="N49">
        <f>N24*($H49-$E$105)*(N$39-$F$105)</f>
        <v>0</v>
      </c>
      <c r="O49">
        <f>O24*($H49-$E$105)*(O$39-$F$105)</f>
        <v>0</v>
      </c>
      <c r="P49">
        <f>P24*($H49-$E$105)*(P$39-$F$105)</f>
        <v>0</v>
      </c>
      <c r="Q49">
        <f>Q24*($H49-$E$105)*(Q$39-$F$105)</f>
        <v>0</v>
      </c>
      <c r="R49">
        <f>R24*($H49-$E$105)*(R$39-$F$105)</f>
        <v>0</v>
      </c>
    </row>
    <row r="50" ht="14.25">
      <c r="A50" s="3" t="s">
        <v>57</v>
      </c>
      <c r="C50">
        <f ca="1">_xlfn.NORM.INV(RAND(),65,7)</f>
        <v>58.860672443612906</v>
      </c>
      <c r="D50">
        <f ca="1">_xlfn.NORM.INV(RAND(),160,10)</f>
        <v>165.68059068179147</v>
      </c>
      <c r="E50">
        <f>FLOOR(C50,5)+2.5</f>
        <v>57.5</v>
      </c>
      <c r="F50" s="2">
        <f>FLOOR(D50,5)+2.5</f>
        <v>167.5</v>
      </c>
      <c r="S50">
        <f>SUM(I40:R49)</f>
        <v>-1.455375000000005</v>
      </c>
    </row>
    <row r="51" ht="14.25">
      <c r="A51" s="3" t="s">
        <v>58</v>
      </c>
      <c r="C51">
        <f ca="1">_xlfn.NORM.INV(RAND(),65,7)</f>
        <v>74.920659018282905</v>
      </c>
      <c r="D51">
        <f ca="1">_xlfn.NORM.INV(RAND(),160,10)</f>
        <v>152.95351345705515</v>
      </c>
      <c r="E51">
        <f>FLOOR(C51,5)+2.5</f>
        <v>72.5</v>
      </c>
      <c r="F51" s="2">
        <f>FLOOR(D51,5)+2.5</f>
        <v>152.5</v>
      </c>
    </row>
    <row r="52" ht="14.25">
      <c r="A52" s="3" t="s">
        <v>59</v>
      </c>
      <c r="C52">
        <f ca="1">_xlfn.NORM.INV(RAND(),65,7)</f>
        <v>60.236315190512428</v>
      </c>
      <c r="D52">
        <f ca="1">_xlfn.NORM.INV(RAND(),160,10)</f>
        <v>163.75493518633942</v>
      </c>
      <c r="E52">
        <f>FLOOR(C52,5)+2.5</f>
        <v>62.5</v>
      </c>
      <c r="F52" s="2">
        <f>FLOOR(D52,5)+2.5</f>
        <v>162.5</v>
      </c>
      <c r="I52">
        <f>_xlfn.COVARIANCE.S($E$2:$E$101,$F$2:$F$101)</f>
        <v>-2.537878787878785</v>
      </c>
      <c r="J52">
        <f>S38-(E105*F105)</f>
        <v>-267.32500000000073</v>
      </c>
    </row>
    <row r="53" ht="14.25">
      <c r="A53" s="3" t="s">
        <v>60</v>
      </c>
      <c r="C53">
        <f ca="1">_xlfn.NORM.INV(RAND(),65,7)</f>
        <v>75.778444866092869</v>
      </c>
      <c r="D53">
        <f ca="1">_xlfn.NORM.INV(RAND(),160,10)</f>
        <v>170.49756468029321</v>
      </c>
      <c r="E53">
        <f>FLOOR(C53,5)+2.5</f>
        <v>77.5</v>
      </c>
      <c r="F53" s="2">
        <f>FLOOR(D53,5)+2.5</f>
        <v>172.5</v>
      </c>
      <c r="I53" s="2">
        <f>_xlfn.COVARIANCE.P($E$2:$E$101,$F$2:$F$101)</f>
        <v>-2.5124999999999971</v>
      </c>
      <c r="J53">
        <f>S50/(E107*F107)</f>
        <v>-2.0757210143595238e-002</v>
      </c>
    </row>
    <row r="54" ht="14.25">
      <c r="A54" s="3" t="s">
        <v>61</v>
      </c>
      <c r="C54">
        <f ca="1">_xlfn.NORM.INV(RAND(),65,7)</f>
        <v>59.198670183130965</v>
      </c>
      <c r="D54">
        <f ca="1">_xlfn.NORM.INV(RAND(),160,10)</f>
        <v>174.6623970510698</v>
      </c>
      <c r="E54">
        <f>FLOOR(C54,5)+2.5</f>
        <v>57.5</v>
      </c>
      <c r="F54" s="2">
        <f>FLOOR(D54,5)+2.5</f>
        <v>172.5</v>
      </c>
    </row>
    <row r="55" ht="14.25">
      <c r="A55" s="3" t="s">
        <v>62</v>
      </c>
      <c r="C55">
        <f ca="1">_xlfn.NORM.INV(RAND(),65,7)</f>
        <v>67.967388102906085</v>
      </c>
      <c r="D55">
        <f ca="1">_xlfn.NORM.INV(RAND(),160,10)</f>
        <v>167.42752397324116</v>
      </c>
      <c r="E55">
        <f>FLOOR(C55,5)+2.5</f>
        <v>67.5</v>
      </c>
      <c r="F55" s="2">
        <f>FLOOR(D55,5)+2.5</f>
        <v>167.5</v>
      </c>
    </row>
    <row r="56" ht="14.25">
      <c r="A56" s="3" t="s">
        <v>63</v>
      </c>
      <c r="C56">
        <f ca="1">_xlfn.NORM.INV(RAND(),65,7)</f>
        <v>76.69647567774912</v>
      </c>
      <c r="D56">
        <f ca="1">_xlfn.NORM.INV(RAND(),160,10)</f>
        <v>164.01996572949184</v>
      </c>
      <c r="E56">
        <f>FLOOR(C56,5)+2.5</f>
        <v>77.5</v>
      </c>
      <c r="F56" s="2">
        <f>FLOOR(D56,5)+2.5</f>
        <v>162.5</v>
      </c>
    </row>
    <row r="57" ht="14.25">
      <c r="A57" s="3" t="s">
        <v>64</v>
      </c>
      <c r="C57">
        <f ca="1">_xlfn.NORM.INV(RAND(),65,7)</f>
        <v>59.364724538967359</v>
      </c>
      <c r="D57">
        <f ca="1">_xlfn.NORM.INV(RAND(),160,10)</f>
        <v>162.11850510185053</v>
      </c>
      <c r="E57">
        <f>FLOOR(C57,5)+2.5</f>
        <v>57.5</v>
      </c>
      <c r="F57" s="2">
        <f>FLOOR(D57,5)+2.5</f>
        <v>162.5</v>
      </c>
    </row>
    <row r="58" ht="14.25">
      <c r="A58" s="3" t="s">
        <v>65</v>
      </c>
      <c r="C58">
        <f ca="1">_xlfn.NORM.INV(RAND(),65,7)</f>
        <v>52.227916577748928</v>
      </c>
      <c r="D58">
        <f ca="1">_xlfn.NORM.INV(RAND(),160,10)</f>
        <v>160.04431326931461</v>
      </c>
      <c r="E58">
        <f>FLOOR(C58,5)+2.5</f>
        <v>52.5</v>
      </c>
      <c r="F58" s="2">
        <f>FLOOR(D58,5)+2.5</f>
        <v>162.5</v>
      </c>
    </row>
    <row r="59" ht="14.25">
      <c r="A59" s="3" t="s">
        <v>66</v>
      </c>
      <c r="C59">
        <f ca="1">_xlfn.NORM.INV(RAND(),65,7)</f>
        <v>71.728125360796454</v>
      </c>
      <c r="D59">
        <f ca="1">_xlfn.NORM.INV(RAND(),160,10)</f>
        <v>146.28396800174053</v>
      </c>
      <c r="E59">
        <f>FLOOR(C59,5)+2.5</f>
        <v>72.5</v>
      </c>
      <c r="F59" s="2">
        <f>FLOOR(D59,5)+2.5</f>
        <v>147.5</v>
      </c>
    </row>
    <row r="60" ht="14.25">
      <c r="A60" s="3" t="s">
        <v>67</v>
      </c>
      <c r="C60">
        <f ca="1">_xlfn.NORM.INV(RAND(),65,7)</f>
        <v>61.851452440611567</v>
      </c>
      <c r="D60">
        <f ca="1">_xlfn.NORM.INV(RAND(),160,10)</f>
        <v>165.35443381262971</v>
      </c>
      <c r="E60">
        <f>FLOOR(C60,5)+2.5</f>
        <v>62.5</v>
      </c>
      <c r="F60" s="2">
        <f>FLOOR(D60,5)+2.5</f>
        <v>167.5</v>
      </c>
    </row>
    <row r="61" ht="14.25">
      <c r="A61" s="3" t="s">
        <v>68</v>
      </c>
      <c r="C61">
        <f ca="1">_xlfn.NORM.INV(RAND(),65,7)</f>
        <v>72.658760412724661</v>
      </c>
      <c r="D61">
        <f ca="1">_xlfn.NORM.INV(RAND(),160,10)</f>
        <v>146.85373686827702</v>
      </c>
      <c r="E61">
        <f>FLOOR(C61,5)+2.5</f>
        <v>72.5</v>
      </c>
      <c r="F61" s="2">
        <f>FLOOR(D61,5)+2.5</f>
        <v>147.5</v>
      </c>
    </row>
    <row r="62" ht="14.25">
      <c r="A62" s="3" t="s">
        <v>69</v>
      </c>
      <c r="C62">
        <f ca="1">_xlfn.NORM.INV(RAND(),65,7)</f>
        <v>65.749629217297127</v>
      </c>
      <c r="D62">
        <f ca="1">_xlfn.NORM.INV(RAND(),160,10)</f>
        <v>142.33051221545767</v>
      </c>
      <c r="E62">
        <f>FLOOR(C62,5)+2.5</f>
        <v>67.5</v>
      </c>
      <c r="F62" s="2">
        <f>FLOOR(D62,5)+2.5</f>
        <v>142.5</v>
      </c>
    </row>
    <row r="63" ht="14.25">
      <c r="A63" s="3" t="s">
        <v>70</v>
      </c>
      <c r="C63">
        <f ca="1">_xlfn.NORM.INV(RAND(),65,7)</f>
        <v>66.159563255780398</v>
      </c>
      <c r="D63">
        <f ca="1">_xlfn.NORM.INV(RAND(),160,10)</f>
        <v>170.4939857467044</v>
      </c>
      <c r="E63">
        <f>FLOOR(C63,5)+2.5</f>
        <v>67.5</v>
      </c>
      <c r="F63" s="2">
        <f>FLOOR(D63,5)+2.5</f>
        <v>172.5</v>
      </c>
    </row>
    <row r="64" ht="14.25">
      <c r="A64" s="3" t="s">
        <v>71</v>
      </c>
      <c r="C64">
        <f ca="1">_xlfn.NORM.INV(RAND(),65,7)</f>
        <v>70.674679208247056</v>
      </c>
      <c r="D64">
        <f ca="1">_xlfn.NORM.INV(RAND(),160,10)</f>
        <v>154.66338655285102</v>
      </c>
      <c r="E64">
        <f>FLOOR(C64,5)+2.5</f>
        <v>72.5</v>
      </c>
      <c r="F64" s="2">
        <f>FLOOR(D64,5)+2.5</f>
        <v>152.5</v>
      </c>
    </row>
    <row r="65" ht="14.25">
      <c r="A65" s="3" t="s">
        <v>72</v>
      </c>
      <c r="C65">
        <f ca="1">_xlfn.NORM.INV(RAND(),65,7)</f>
        <v>56.302470960764651</v>
      </c>
      <c r="D65">
        <f ca="1">_xlfn.NORM.INV(RAND(),160,10)</f>
        <v>156.19888779191371</v>
      </c>
      <c r="E65">
        <f>FLOOR(C65,5)+2.5</f>
        <v>57.5</v>
      </c>
      <c r="F65" s="2">
        <f>FLOOR(D65,5)+2.5</f>
        <v>157.5</v>
      </c>
    </row>
    <row r="66" ht="14.25">
      <c r="A66" s="3" t="s">
        <v>73</v>
      </c>
      <c r="C66">
        <f ca="1">_xlfn.NORM.INV(RAND(),65,7)</f>
        <v>67.962374616531818</v>
      </c>
      <c r="D66">
        <f ca="1">_xlfn.NORM.INV(RAND(),160,10)</f>
        <v>147.36367658555577</v>
      </c>
      <c r="E66">
        <f>FLOOR(C66,5)+2.5</f>
        <v>67.5</v>
      </c>
      <c r="F66" s="2">
        <f>FLOOR(D66,5)+2.5</f>
        <v>147.5</v>
      </c>
    </row>
    <row r="67" ht="14.25">
      <c r="A67" s="3" t="s">
        <v>74</v>
      </c>
      <c r="C67">
        <f ca="1">_xlfn.NORM.INV(RAND(),65,7)</f>
        <v>61.150733579830828</v>
      </c>
      <c r="D67">
        <f ca="1">_xlfn.NORM.INV(RAND(),160,10)</f>
        <v>161.86677808998877</v>
      </c>
      <c r="E67">
        <f>FLOOR(C67,5)+2.5</f>
        <v>62.5</v>
      </c>
      <c r="F67" s="2">
        <f>FLOOR(D67,5)+2.5</f>
        <v>162.5</v>
      </c>
    </row>
    <row r="68" ht="14.25">
      <c r="A68" s="3" t="s">
        <v>75</v>
      </c>
      <c r="C68">
        <f ca="1">_xlfn.NORM.INV(RAND(),65,7)</f>
        <v>63.85528320534744</v>
      </c>
      <c r="D68">
        <f ca="1">_xlfn.NORM.INV(RAND(),160,10)</f>
        <v>156.97759579997523</v>
      </c>
      <c r="E68">
        <f>FLOOR(C68,5)+2.5</f>
        <v>62.5</v>
      </c>
      <c r="F68" s="2">
        <f>FLOOR(D68,5)+2.5</f>
        <v>157.5</v>
      </c>
    </row>
    <row r="69" ht="14.25">
      <c r="A69" s="3" t="s">
        <v>76</v>
      </c>
      <c r="C69">
        <f ca="1">_xlfn.NORM.INV(RAND(),65,7)</f>
        <v>66.722055944755908</v>
      </c>
      <c r="D69">
        <f ca="1">_xlfn.NORM.INV(RAND(),160,10)</f>
        <v>128.29326606039712</v>
      </c>
      <c r="E69">
        <f>FLOOR(C69,5)+2.5</f>
        <v>67.5</v>
      </c>
      <c r="F69" s="2">
        <f>FLOOR(D69,5)+2.5</f>
        <v>127.5</v>
      </c>
    </row>
    <row r="70" ht="14.25">
      <c r="A70" s="3" t="s">
        <v>77</v>
      </c>
      <c r="C70">
        <f ca="1">_xlfn.NORM.INV(RAND(),65,7)</f>
        <v>57.165126247226461</v>
      </c>
      <c r="D70">
        <f ca="1">_xlfn.NORM.INV(RAND(),160,10)</f>
        <v>155.74239228324936</v>
      </c>
      <c r="E70">
        <f>FLOOR(C70,5)+2.5</f>
        <v>57.5</v>
      </c>
      <c r="F70" s="2">
        <f>FLOOR(D70,5)+2.5</f>
        <v>157.5</v>
      </c>
    </row>
    <row r="71" ht="14.25">
      <c r="A71" s="3" t="s">
        <v>78</v>
      </c>
      <c r="C71">
        <f ca="1">_xlfn.NORM.INV(RAND(),65,7)</f>
        <v>73.053821433498754</v>
      </c>
      <c r="D71">
        <f ca="1">_xlfn.NORM.INV(RAND(),160,10)</f>
        <v>162.51214612218607</v>
      </c>
      <c r="E71">
        <f>FLOOR(C71,5)+2.5</f>
        <v>72.5</v>
      </c>
      <c r="F71" s="2">
        <f>FLOOR(D71,5)+2.5</f>
        <v>162.5</v>
      </c>
    </row>
    <row r="72" ht="14.25">
      <c r="A72" s="3" t="s">
        <v>79</v>
      </c>
      <c r="C72">
        <f ca="1">_xlfn.NORM.INV(RAND(),65,7)</f>
        <v>64.627747319242587</v>
      </c>
      <c r="D72">
        <f ca="1">_xlfn.NORM.INV(RAND(),160,10)</f>
        <v>152.39301111245592</v>
      </c>
      <c r="E72">
        <f>FLOOR(C72,5)+2.5</f>
        <v>62.5</v>
      </c>
      <c r="F72" s="2">
        <f>FLOOR(D72,5)+2.5</f>
        <v>152.5</v>
      </c>
    </row>
    <row r="73" ht="14.25">
      <c r="A73" s="3" t="s">
        <v>80</v>
      </c>
      <c r="C73">
        <f ca="1">_xlfn.NORM.INV(RAND(),65,7)</f>
        <v>56.982803274255403</v>
      </c>
      <c r="D73">
        <f ca="1">_xlfn.NORM.INV(RAND(),160,10)</f>
        <v>155.68753410022461</v>
      </c>
      <c r="E73">
        <f>FLOOR(C73,5)+2.5</f>
        <v>57.5</v>
      </c>
      <c r="F73" s="2">
        <f>FLOOR(D73,5)+2.5</f>
        <v>157.5</v>
      </c>
    </row>
    <row r="74" ht="14.25">
      <c r="A74" s="3" t="s">
        <v>81</v>
      </c>
      <c r="C74">
        <f ca="1">_xlfn.NORM.INV(RAND(),65,7)</f>
        <v>61.711310513248968</v>
      </c>
      <c r="D74">
        <f ca="1">_xlfn.NORM.INV(RAND(),160,10)</f>
        <v>169.59002232246917</v>
      </c>
      <c r="E74">
        <f>FLOOR(C74,5)+2.5</f>
        <v>62.5</v>
      </c>
      <c r="F74" s="2">
        <f>FLOOR(D74,5)+2.5</f>
        <v>167.5</v>
      </c>
    </row>
    <row r="75" ht="14.25">
      <c r="A75" s="3" t="s">
        <v>82</v>
      </c>
      <c r="C75">
        <f ca="1">_xlfn.NORM.INV(RAND(),65,7)</f>
        <v>82.064337495377671</v>
      </c>
      <c r="D75">
        <f ca="1">_xlfn.NORM.INV(RAND(),160,10)</f>
        <v>166.20177855915134</v>
      </c>
      <c r="E75">
        <f>FLOOR(C75,5)+2.5</f>
        <v>82.5</v>
      </c>
      <c r="F75" s="2">
        <f>FLOOR(D75,5)+2.5</f>
        <v>167.5</v>
      </c>
    </row>
    <row r="76" ht="14.25">
      <c r="A76" s="3" t="s">
        <v>83</v>
      </c>
      <c r="C76">
        <f ca="1">_xlfn.NORM.INV(RAND(),65,7)</f>
        <v>58.947737009178752</v>
      </c>
      <c r="D76">
        <f ca="1">_xlfn.NORM.INV(RAND(),160,10)</f>
        <v>159.57202864358652</v>
      </c>
      <c r="E76">
        <f>FLOOR(C76,5)+2.5</f>
        <v>57.5</v>
      </c>
      <c r="F76" s="2">
        <f>FLOOR(D76,5)+2.5</f>
        <v>157.5</v>
      </c>
    </row>
    <row r="77" ht="14.25">
      <c r="A77" s="3" t="s">
        <v>84</v>
      </c>
      <c r="C77">
        <f ca="1">_xlfn.NORM.INV(RAND(),65,7)</f>
        <v>66.366625316223391</v>
      </c>
      <c r="D77">
        <f ca="1">_xlfn.NORM.INV(RAND(),160,10)</f>
        <v>154.50285036650882</v>
      </c>
      <c r="E77">
        <f>FLOOR(C77,5)+2.5</f>
        <v>67.5</v>
      </c>
      <c r="F77" s="2">
        <f>FLOOR(D77,5)+2.5</f>
        <v>152.5</v>
      </c>
    </row>
    <row r="78" ht="14.25">
      <c r="A78" s="3" t="s">
        <v>85</v>
      </c>
      <c r="C78">
        <f ca="1">_xlfn.NORM.INV(RAND(),65,7)</f>
        <v>61.969610732430397</v>
      </c>
      <c r="D78">
        <f ca="1">_xlfn.NORM.INV(RAND(),160,10)</f>
        <v>163.55770898355098</v>
      </c>
      <c r="E78">
        <f>FLOOR(C78,5)+2.5</f>
        <v>62.5</v>
      </c>
      <c r="F78" s="2">
        <f>FLOOR(D78,5)+2.5</f>
        <v>162.5</v>
      </c>
    </row>
    <row r="79" ht="14.25">
      <c r="A79" s="3" t="s">
        <v>86</v>
      </c>
      <c r="C79">
        <f ca="1">_xlfn.NORM.INV(RAND(),65,7)</f>
        <v>71.209852409712894</v>
      </c>
      <c r="D79">
        <f ca="1">_xlfn.NORM.INV(RAND(),160,10)</f>
        <v>154.9367310481949</v>
      </c>
      <c r="E79">
        <f>FLOOR(C79,5)+2.5</f>
        <v>72.5</v>
      </c>
      <c r="F79" s="2">
        <f>FLOOR(D79,5)+2.5</f>
        <v>152.5</v>
      </c>
    </row>
    <row r="80" ht="14.25">
      <c r="A80" s="3" t="s">
        <v>87</v>
      </c>
      <c r="C80">
        <f ca="1">_xlfn.NORM.INV(RAND(),65,7)</f>
        <v>63.183755082342437</v>
      </c>
      <c r="D80">
        <f ca="1">_xlfn.NORM.INV(RAND(),160,10)</f>
        <v>172.99111748207181</v>
      </c>
      <c r="E80">
        <f>FLOOR(C80,5)+2.5</f>
        <v>62.5</v>
      </c>
      <c r="F80" s="2">
        <f>FLOOR(D80,5)+2.5</f>
        <v>172.5</v>
      </c>
    </row>
    <row r="81" ht="14.25">
      <c r="A81" s="3" t="s">
        <v>88</v>
      </c>
      <c r="C81">
        <f ca="1">_xlfn.NORM.INV(RAND(),65,7)</f>
        <v>77.677834782990033</v>
      </c>
      <c r="D81">
        <f ca="1">_xlfn.NORM.INV(RAND(),160,10)</f>
        <v>155.11371397549235</v>
      </c>
      <c r="E81">
        <f>FLOOR(C81,5)+2.5</f>
        <v>77.5</v>
      </c>
      <c r="F81" s="2">
        <f>FLOOR(D81,5)+2.5</f>
        <v>157.5</v>
      </c>
    </row>
    <row r="82" ht="14.25">
      <c r="A82" s="3" t="s">
        <v>89</v>
      </c>
      <c r="C82">
        <f ca="1">_xlfn.NORM.INV(RAND(),65,7)</f>
        <v>62.7588726233855</v>
      </c>
      <c r="D82">
        <f ca="1">_xlfn.NORM.INV(RAND(),160,10)</f>
        <v>166.44658771002537</v>
      </c>
      <c r="E82">
        <f>FLOOR(C82,5)+2.5</f>
        <v>62.5</v>
      </c>
      <c r="F82" s="2">
        <f>FLOOR(D82,5)+2.5</f>
        <v>167.5</v>
      </c>
    </row>
    <row r="83" ht="14.25">
      <c r="A83" s="3" t="s">
        <v>90</v>
      </c>
      <c r="C83">
        <f ca="1">_xlfn.NORM.INV(RAND(),65,7)</f>
        <v>70.418210558191873</v>
      </c>
      <c r="D83">
        <f ca="1">_xlfn.NORM.INV(RAND(),160,10)</f>
        <v>157.49601725163916</v>
      </c>
      <c r="E83">
        <f>FLOOR(C83,5)+2.5</f>
        <v>72.5</v>
      </c>
      <c r="F83" s="2">
        <f>FLOOR(D83,5)+2.5</f>
        <v>157.5</v>
      </c>
    </row>
    <row r="84" ht="14.25">
      <c r="A84" s="3" t="s">
        <v>91</v>
      </c>
      <c r="C84">
        <f ca="1">_xlfn.NORM.INV(RAND(),65,7)</f>
        <v>52.104811858295754</v>
      </c>
      <c r="D84">
        <f ca="1">_xlfn.NORM.INV(RAND(),160,10)</f>
        <v>155.30019868138652</v>
      </c>
      <c r="E84">
        <f>FLOOR(C84,5)+2.5</f>
        <v>52.5</v>
      </c>
      <c r="F84" s="2">
        <f>FLOOR(D84,5)+2.5</f>
        <v>157.5</v>
      </c>
    </row>
    <row r="85" ht="14.25">
      <c r="A85" s="3" t="s">
        <v>92</v>
      </c>
      <c r="C85">
        <f ca="1">_xlfn.NORM.INV(RAND(),65,7)</f>
        <v>63.414440448285035</v>
      </c>
      <c r="D85">
        <f ca="1">_xlfn.NORM.INV(RAND(),160,10)</f>
        <v>179.41381288890972</v>
      </c>
      <c r="E85">
        <f>FLOOR(C85,5)+2.5</f>
        <v>62.5</v>
      </c>
      <c r="F85" s="2">
        <f>FLOOR(D85,5)+2.5</f>
        <v>177.5</v>
      </c>
    </row>
    <row r="86" ht="14.25">
      <c r="A86" s="3" t="s">
        <v>93</v>
      </c>
      <c r="C86">
        <f ca="1">_xlfn.NORM.INV(RAND(),65,7)</f>
        <v>73.042954250358946</v>
      </c>
      <c r="D86">
        <f ca="1">_xlfn.NORM.INV(RAND(),160,10)</f>
        <v>155.9362693486257</v>
      </c>
      <c r="E86">
        <f>FLOOR(C86,5)+2.5</f>
        <v>72.5</v>
      </c>
      <c r="F86" s="2">
        <f>FLOOR(D86,5)+2.5</f>
        <v>157.5</v>
      </c>
    </row>
    <row r="87" ht="14.25">
      <c r="A87" s="3" t="s">
        <v>94</v>
      </c>
      <c r="C87">
        <f ca="1">_xlfn.NORM.INV(RAND(),65,7)</f>
        <v>62.496720727672894</v>
      </c>
      <c r="D87">
        <f ca="1">_xlfn.NORM.INV(RAND(),160,10)</f>
        <v>142.09586991260494</v>
      </c>
      <c r="E87">
        <f>FLOOR(C87,5)+2.5</f>
        <v>62.5</v>
      </c>
      <c r="F87" s="2">
        <f>FLOOR(D87,5)+2.5</f>
        <v>142.5</v>
      </c>
    </row>
    <row r="88" ht="14.25">
      <c r="A88" s="3" t="s">
        <v>95</v>
      </c>
      <c r="C88">
        <f ca="1">_xlfn.NORM.INV(RAND(),65,7)</f>
        <v>65.552869333637119</v>
      </c>
      <c r="D88">
        <f ca="1">_xlfn.NORM.INV(RAND(),160,10)</f>
        <v>167.30568619038138</v>
      </c>
      <c r="E88">
        <f>FLOOR(C88,5)+2.5</f>
        <v>67.5</v>
      </c>
      <c r="F88" s="2">
        <f>FLOOR(D88,5)+2.5</f>
        <v>167.5</v>
      </c>
    </row>
    <row r="89" ht="14.25">
      <c r="A89" s="3" t="s">
        <v>96</v>
      </c>
      <c r="C89">
        <f ca="1">_xlfn.NORM.INV(RAND(),65,7)</f>
        <v>67.816189277554983</v>
      </c>
      <c r="D89">
        <f ca="1">_xlfn.NORM.INV(RAND(),160,10)</f>
        <v>180.52360746202109</v>
      </c>
      <c r="E89">
        <f>FLOOR(C89,5)+2.5</f>
        <v>67.5</v>
      </c>
      <c r="F89" s="2">
        <f>FLOOR(D89,5)+2.5</f>
        <v>182.5</v>
      </c>
    </row>
    <row r="90" ht="14.25">
      <c r="A90" s="3" t="s">
        <v>97</v>
      </c>
      <c r="C90">
        <f ca="1">_xlfn.NORM.INV(RAND(),65,7)</f>
        <v>46.731447933743631</v>
      </c>
      <c r="D90">
        <f ca="1">_xlfn.NORM.INV(RAND(),160,10)</f>
        <v>151.98361609519242</v>
      </c>
      <c r="E90">
        <f>FLOOR(C90,5)+2.5</f>
        <v>47.5</v>
      </c>
      <c r="F90" s="2">
        <f>FLOOR(D90,5)+2.5</f>
        <v>152.5</v>
      </c>
    </row>
    <row r="91" ht="14.25">
      <c r="A91" s="3" t="s">
        <v>98</v>
      </c>
      <c r="C91">
        <f ca="1">_xlfn.NORM.INV(RAND(),65,7)</f>
        <v>60.786306531561166</v>
      </c>
      <c r="D91">
        <f ca="1">_xlfn.NORM.INV(RAND(),160,10)</f>
        <v>169.93417476379767</v>
      </c>
      <c r="E91">
        <f>FLOOR(C91,5)+2.5</f>
        <v>62.5</v>
      </c>
      <c r="F91" s="2">
        <f>FLOOR(D91,5)+2.5</f>
        <v>167.5</v>
      </c>
    </row>
    <row r="92" ht="14.25">
      <c r="A92" s="3" t="s">
        <v>99</v>
      </c>
      <c r="C92">
        <f ca="1">_xlfn.NORM.INV(RAND(),65,7)</f>
        <v>64.881171922137995</v>
      </c>
      <c r="D92">
        <f ca="1">_xlfn.NORM.INV(RAND(),160,10)</f>
        <v>167.95292219992319</v>
      </c>
      <c r="E92">
        <f>FLOOR(C92,5)+2.5</f>
        <v>62.5</v>
      </c>
      <c r="F92" s="2">
        <f>FLOOR(D92,5)+2.5</f>
        <v>167.5</v>
      </c>
    </row>
    <row r="93" ht="14.25">
      <c r="A93" s="3" t="s">
        <v>100</v>
      </c>
      <c r="C93">
        <f ca="1">_xlfn.NORM.INV(RAND(),65,7)</f>
        <v>66.625268528506098</v>
      </c>
      <c r="D93">
        <f ca="1">_xlfn.NORM.INV(RAND(),160,10)</f>
        <v>160.71146062793005</v>
      </c>
      <c r="E93">
        <f>FLOOR(C93,5)+2.5</f>
        <v>67.5</v>
      </c>
      <c r="F93" s="2">
        <f>FLOOR(D93,5)+2.5</f>
        <v>162.5</v>
      </c>
    </row>
    <row r="94" ht="14.25">
      <c r="A94" s="3" t="s">
        <v>101</v>
      </c>
      <c r="C94">
        <f ca="1">_xlfn.NORM.INV(RAND(),65,7)</f>
        <v>68.211849205693071</v>
      </c>
      <c r="D94">
        <f ca="1">_xlfn.NORM.INV(RAND(),160,10)</f>
        <v>174.84379859570089</v>
      </c>
      <c r="E94">
        <f>FLOOR(C94,5)+2.5</f>
        <v>67.5</v>
      </c>
      <c r="F94" s="2">
        <f>FLOOR(D94,5)+2.5</f>
        <v>172.5</v>
      </c>
    </row>
    <row r="95" ht="14.25">
      <c r="A95" s="3" t="s">
        <v>102</v>
      </c>
      <c r="C95">
        <f ca="1">_xlfn.NORM.INV(RAND(),65,7)</f>
        <v>54.293455533226258</v>
      </c>
      <c r="D95">
        <f ca="1">_xlfn.NORM.INV(RAND(),160,10)</f>
        <v>156.55232416580964</v>
      </c>
      <c r="E95">
        <f>FLOOR(C95,5)+2.5</f>
        <v>52.5</v>
      </c>
      <c r="F95" s="2">
        <f>FLOOR(D95,5)+2.5</f>
        <v>157.5</v>
      </c>
    </row>
    <row r="96" ht="14.25">
      <c r="A96" s="3" t="s">
        <v>103</v>
      </c>
      <c r="C96">
        <f ca="1">_xlfn.NORM.INV(RAND(),65,7)</f>
        <v>64.191954799716356</v>
      </c>
      <c r="D96">
        <f ca="1">_xlfn.NORM.INV(RAND(),160,10)</f>
        <v>169.7459552869966</v>
      </c>
      <c r="E96">
        <f>FLOOR(C96,5)+2.5</f>
        <v>62.5</v>
      </c>
      <c r="F96" s="2">
        <f>FLOOR(D96,5)+2.5</f>
        <v>167.5</v>
      </c>
    </row>
    <row r="97" ht="14.25">
      <c r="A97" s="3" t="s">
        <v>104</v>
      </c>
      <c r="C97">
        <f ca="1">_xlfn.NORM.INV(RAND(),65,7)</f>
        <v>72.636479926751917</v>
      </c>
      <c r="D97">
        <f ca="1">_xlfn.NORM.INV(RAND(),160,10)</f>
        <v>167.70972308406886</v>
      </c>
      <c r="E97">
        <f>FLOOR(C97,5)+2.5</f>
        <v>72.5</v>
      </c>
      <c r="F97" s="2">
        <f>FLOOR(D97,5)+2.5</f>
        <v>167.5</v>
      </c>
    </row>
    <row r="98" ht="14.25">
      <c r="A98" s="3" t="s">
        <v>105</v>
      </c>
      <c r="C98">
        <f ca="1">_xlfn.NORM.INV(RAND(),65,7)</f>
        <v>67.296627740235522</v>
      </c>
      <c r="D98">
        <f ca="1">_xlfn.NORM.INV(RAND(),160,10)</f>
        <v>160.57594514946973</v>
      </c>
      <c r="E98">
        <f>FLOOR(C98,5)+2.5</f>
        <v>67.5</v>
      </c>
      <c r="F98" s="2">
        <f>FLOOR(D98,5)+2.5</f>
        <v>162.5</v>
      </c>
    </row>
    <row r="99" ht="14.25">
      <c r="A99" s="3" t="s">
        <v>106</v>
      </c>
      <c r="C99">
        <f ca="1">_xlfn.NORM.INV(RAND(),65,7)</f>
        <v>65.127278186737925</v>
      </c>
      <c r="D99">
        <f ca="1">_xlfn.NORM.INV(RAND(),160,10)</f>
        <v>154.32163648204676</v>
      </c>
      <c r="E99">
        <f>FLOOR(C99,5)+2.5</f>
        <v>67.5</v>
      </c>
      <c r="F99" s="2">
        <f>FLOOR(D99,5)+2.5</f>
        <v>152.5</v>
      </c>
    </row>
    <row r="100" ht="14.25">
      <c r="A100" s="3" t="s">
        <v>107</v>
      </c>
      <c r="C100">
        <f ca="1">_xlfn.NORM.INV(RAND(),65,7)</f>
        <v>62.621232404670224</v>
      </c>
      <c r="D100">
        <f ca="1">_xlfn.NORM.INV(RAND(),160,10)</f>
        <v>147.40740142971867</v>
      </c>
      <c r="E100">
        <f>FLOOR(C100,5)+2.5</f>
        <v>62.5</v>
      </c>
      <c r="F100" s="2">
        <f>FLOOR(D100,5)+2.5</f>
        <v>147.5</v>
      </c>
    </row>
    <row r="101" ht="14.25">
      <c r="A101" s="3" t="s">
        <v>108</v>
      </c>
      <c r="C101">
        <f ca="1">_xlfn.NORM.INV(RAND(),65,7)</f>
        <v>61.612910478458815</v>
      </c>
      <c r="D101">
        <f ca="1">_xlfn.NORM.INV(RAND(),160,10)</f>
        <v>151.6785892303146</v>
      </c>
      <c r="E101">
        <f>FLOOR(C101,5)+2.5</f>
        <v>62.5</v>
      </c>
      <c r="F101" s="2">
        <f>FLOOR(D101,5)+2.5</f>
        <v>152.5</v>
      </c>
    </row>
    <row r="103" ht="14.25">
      <c r="A103" t="s">
        <v>109</v>
      </c>
      <c r="C103">
        <f>MIN(C2:C101)</f>
        <v>46.731447933743631</v>
      </c>
      <c r="D103" s="2">
        <f>MIN(D2:D101)</f>
        <v>128.29326606039712</v>
      </c>
      <c r="E103" s="2">
        <f>MIN(E2:E101)</f>
        <v>47.5</v>
      </c>
      <c r="F103" s="2">
        <f>MIN(F2:F101)</f>
        <v>127.5</v>
      </c>
    </row>
    <row r="104" ht="14.25">
      <c r="A104" t="s">
        <v>110</v>
      </c>
      <c r="C104">
        <f>MAX(C2:C101)</f>
        <v>82.064337495377671</v>
      </c>
      <c r="D104" s="2">
        <f>MAX(D2:D101)</f>
        <v>180.52360746202109</v>
      </c>
      <c r="E104" s="2">
        <f>MAX(E2:E101)</f>
        <v>82.5</v>
      </c>
      <c r="F104" s="2">
        <f>MAX(F2:F101)</f>
        <v>182.5</v>
      </c>
    </row>
    <row r="105" ht="14.25">
      <c r="A105" t="s">
        <v>111</v>
      </c>
      <c r="C105">
        <f>AVERAGE(C2:C101)</f>
        <v>64.741192471197294</v>
      </c>
      <c r="D105" s="2">
        <f>AVERAGE(D2:D101)</f>
        <v>159.13372095012232</v>
      </c>
      <c r="E105" s="2">
        <f>AVERAGE(E2:E101)</f>
        <v>64.650000000000006</v>
      </c>
      <c r="F105" s="2">
        <f>AVERAGE(F2:F101)</f>
        <v>159.25</v>
      </c>
    </row>
    <row r="106" ht="14.25">
      <c r="A106" t="s">
        <v>112</v>
      </c>
      <c r="C106">
        <f>VAR(C2:C101)</f>
        <v>42.657961749347159</v>
      </c>
      <c r="D106" s="2">
        <f>VAR(D2:D101)</f>
        <v>111.25264296803346</v>
      </c>
      <c r="E106" s="2">
        <f>VAR(E2:E101)</f>
        <v>44.57323232323234</v>
      </c>
      <c r="F106" s="2">
        <f>VAR(F2:F101)</f>
        <v>110.29040404040404</v>
      </c>
    </row>
    <row r="107" ht="14.25">
      <c r="A107" t="s">
        <v>113</v>
      </c>
      <c r="C107">
        <f>SQRT(C106)</f>
        <v>6.5313062820041718</v>
      </c>
      <c r="D107" s="2">
        <f>SQRT(D106)</f>
        <v>10.547636842820928</v>
      </c>
      <c r="E107" s="2">
        <f>SQRT(E106)</f>
        <v>6.6763187703428555</v>
      </c>
      <c r="F107" s="2">
        <f>SQRT(F106)</f>
        <v>10.501923825680894</v>
      </c>
    </row>
    <row r="126" ht="14.25">
      <c r="A126" t="s">
        <v>114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2026-04-13T13:20:21Z</dcterms:modified>
</cp:coreProperties>
</file>