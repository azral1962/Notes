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data_berat" hidden="0">Sheet3!$F$2:$F$33</definedName>
    <definedName name="N" hidden="0">Sheet3!$J$12</definedName>
    <definedName name="data_tinggi" hidden="0">Sheet3!$E$2:$E$33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<sst xmlns="http://schemas.openxmlformats.org/spreadsheetml/2006/main" count="81" uniqueCount="81">
  <si>
    <t>Nama</t>
  </si>
  <si>
    <t>Bulan</t>
  </si>
  <si>
    <t>Tinggi</t>
  </si>
  <si>
    <t>Berat</t>
  </si>
  <si>
    <t>Amanda</t>
  </si>
  <si>
    <t>Maret</t>
  </si>
  <si>
    <t>Mita</t>
  </si>
  <si>
    <t>Desember</t>
  </si>
  <si>
    <t>Agung</t>
  </si>
  <si>
    <t>Juni</t>
  </si>
  <si>
    <t>Bram</t>
  </si>
  <si>
    <t>November</t>
  </si>
  <si>
    <t>Zulfa</t>
  </si>
  <si>
    <t>Almer</t>
  </si>
  <si>
    <t>Agustus</t>
  </si>
  <si>
    <t>Fredo</t>
  </si>
  <si>
    <t>Emir</t>
  </si>
  <si>
    <t>Juli</t>
  </si>
  <si>
    <t>Abel</t>
  </si>
  <si>
    <t>Fathan</t>
  </si>
  <si>
    <t>Rahman</t>
  </si>
  <si>
    <t>Faiz</t>
  </si>
  <si>
    <t>Oktober</t>
  </si>
  <si>
    <t>Kezia</t>
  </si>
  <si>
    <t>Kayla</t>
  </si>
  <si>
    <t>September</t>
  </si>
  <si>
    <t>Meli</t>
  </si>
  <si>
    <t>Brandon</t>
  </si>
  <si>
    <t>Andi</t>
  </si>
  <si>
    <t>Zahra</t>
  </si>
  <si>
    <t>Melvin</t>
  </si>
  <si>
    <t>Januari</t>
  </si>
  <si>
    <t>Nabila</t>
  </si>
  <si>
    <t>April</t>
  </si>
  <si>
    <t>Daniel</t>
  </si>
  <si>
    <t>Ria</t>
  </si>
  <si>
    <t>Ita</t>
  </si>
  <si>
    <t>Christopher</t>
  </si>
  <si>
    <t>Artos</t>
  </si>
  <si>
    <t>Mei</t>
  </si>
  <si>
    <t>Danya</t>
  </si>
  <si>
    <t>Rico</t>
  </si>
  <si>
    <t>Syaoki</t>
  </si>
  <si>
    <t>Februari</t>
  </si>
  <si>
    <t>Nadine</t>
  </si>
  <si>
    <t>Anissa</t>
  </si>
  <si>
    <t>Nandar</t>
  </si>
  <si>
    <t>/</t>
  </si>
  <si>
    <t>Min</t>
  </si>
  <si>
    <t>max</t>
  </si>
  <si>
    <t>rata-rata</t>
  </si>
  <si>
    <t>varians</t>
  </si>
  <si>
    <t>std</t>
  </si>
  <si>
    <t>Q</t>
  </si>
  <si>
    <t>X:</t>
  </si>
  <si>
    <t>Y:</t>
  </si>
  <si>
    <t>E[xy]:</t>
  </si>
  <si>
    <t>bin</t>
  </si>
  <si>
    <t>Covariance:</t>
  </si>
  <si>
    <t>hist</t>
  </si>
  <si>
    <t>Korelasi</t>
  </si>
  <si>
    <t>p</t>
  </si>
  <si>
    <t>x*p</t>
  </si>
  <si>
    <t>covar</t>
  </si>
  <si>
    <t>(x-m)*p</t>
  </si>
  <si>
    <t>covariance.p</t>
  </si>
  <si>
    <t>cov.s</t>
  </si>
  <si>
    <t>h</t>
  </si>
  <si>
    <t>Y*p</t>
  </si>
  <si>
    <t>(y-m)(y-m)*p</t>
  </si>
  <si>
    <t>E[xy]</t>
  </si>
  <si>
    <t>mx</t>
  </si>
  <si>
    <t>my</t>
  </si>
  <si>
    <t>Covar</t>
  </si>
  <si>
    <t>cov</t>
  </si>
  <si>
    <t>covarians</t>
  </si>
  <si>
    <t>korelasi</t>
  </si>
  <si>
    <t>std1</t>
  </si>
  <si>
    <t>MIN</t>
  </si>
  <si>
    <t>std2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</si>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</sst>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i/>
      <sz val="11.000000"/>
      <color indexed="2"/>
      <name val="Calibri"/>
      <scheme val="minor"/>
    </font>
    <font>
      <sz val="11.000000"/>
      <color rgb="FF0070C0"/>
      <name val="Calibri"/>
      <scheme val="minor"/>
    </font>
    <font>
      <sz val="11.000000"/>
      <color indexed="2"/>
      <name val="Calibri"/>
      <scheme val="minor"/>
    </font>
    <font>
      <sz val="11.000000"/>
      <color rgb="FF00B05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1" fillId="0" borderId="0" numFmtId="0" xfId="0" applyFont="1"/>
    <xf fontId="1" fillId="0" borderId="0" numFmtId="0" xfId="0" applyFont="1">
      <protection hidden="0" locked="1"/>
    </xf>
    <xf fontId="0" fillId="0" borderId="0" numFmtId="0" xfId="0"/>
    <xf fontId="0" fillId="0" borderId="0" numFmtId="0" xfId="0">
      <protection hidden="0" locked="1"/>
    </xf>
    <xf fontId="2" fillId="0" borderId="0" numFmtId="0" xfId="0" applyFont="1"/>
    <xf fontId="0" fillId="0" borderId="0" numFmtId="0" xfId="0" quotePrefix="1">
      <protection hidden="0" locked="1"/>
    </xf>
    <xf fontId="0" fillId="0" borderId="0" numFmtId="0" xfId="0" quotePrefix="1"/>
    <xf fontId="3" fillId="0" borderId="0" numFmtId="0" xfId="0" applyFont="1">
      <protection hidden="0" locked="1"/>
    </xf>
    <xf fontId="2" fillId="0" borderId="0" numFmtId="0" xfId="0" applyFont="1">
      <protection hidden="0" locked="1"/>
    </xf>
    <xf fontId="0" fillId="0" borderId="0" numFmtId="0" xfId="0"/>
    <xf fontId="4" fillId="0" borderId="0" numFmtId="0" xfId="0" applyFont="1">
      <protection hidden="0" locked="1"/>
    </xf>
    <xf fontId="4" fillId="0" borderId="0" numFmtId="0" xfId="0" applyFont="1"/>
    <xf fontId="0" fillId="2" borderId="0" numFmtId="0" xfId="0" applyFill="1">
      <protection hidden="0" locked="1"/>
    </xf>
    <xf fontId="0" fillId="0" borderId="0" numFmtId="0" xfId="0"/>
    <xf fontId="3" fillId="0" borderId="0" numFmtId="0" xfId="0" applyFont="1"/>
    <xf fontId="0" fillId="0" borderId="0" numFmtId="0" xfId="0">
      <protection hidden="0" locked="1"/>
    </xf>
    <xf fontId="0" fillId="3" borderId="0" numFmtId="0" xfId="0" applyFill="1"/>
    <xf fontId="0" fillId="3" borderId="0" numFmtId="0" xfId="0" applyFill="1">
      <protection hidden="0" locked="1"/>
    </xf>
    <xf fontId="0" fillId="0" borderId="1" numFmtId="0" xfId="0" applyBorder="1">
      <protection hidden="0" locked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I16" zoomScale="100" workbookViewId="0">
      <selection activeCell="A1" activeCellId="0" sqref="A1"/>
    </sheetView>
  </sheetViews>
  <sheetFormatPr defaultRowHeight="14.25"/>
  <cols>
    <col bestFit="1" min="13" max="15" width="11.32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3</v>
      </c>
      <c r="J1">
        <v>145</v>
      </c>
      <c r="K1">
        <v>155</v>
      </c>
      <c r="L1">
        <v>165</v>
      </c>
      <c r="M1">
        <v>175</v>
      </c>
      <c r="N1">
        <v>185</v>
      </c>
      <c r="O1">
        <v>195</v>
      </c>
    </row>
    <row r="2" ht="14.25">
      <c r="A2" t="s">
        <v>4</v>
      </c>
      <c r="B2" t="s">
        <v>5</v>
      </c>
      <c r="C2">
        <v>158</v>
      </c>
      <c r="D2">
        <v>58</v>
      </c>
      <c r="E2">
        <v>155</v>
      </c>
      <c r="F2">
        <v>55</v>
      </c>
      <c r="J2">
        <f>COUNTIFS($E$2:$E$33,J$1)</f>
        <v>1</v>
      </c>
      <c r="K2">
        <f>COUNTIFS($E$2:$E$33,K$1)</f>
        <v>3</v>
      </c>
      <c r="L2">
        <f>COUNTIFS($E$2:$E$33,L$1)</f>
        <v>15</v>
      </c>
      <c r="M2">
        <f>COUNTIFS($E$2:$E$33,M$1)</f>
        <v>9</v>
      </c>
      <c r="N2">
        <f>COUNTIFS($E$2:$E$33,N$1)</f>
        <v>3</v>
      </c>
      <c r="O2">
        <f>COUNTIFS($E$2:$E$33,O$1)</f>
        <v>1</v>
      </c>
      <c r="P2">
        <f>SUM(J2:O2)</f>
        <v>32</v>
      </c>
    </row>
    <row r="3" ht="14.25">
      <c r="A3" t="s">
        <v>6</v>
      </c>
      <c r="B3" t="s">
        <v>7</v>
      </c>
      <c r="C3">
        <v>160</v>
      </c>
      <c r="D3">
        <v>40</v>
      </c>
      <c r="E3">
        <v>165</v>
      </c>
      <c r="F3">
        <v>45</v>
      </c>
      <c r="J3" s="1">
        <f>J2/$P2</f>
        <v>3.125e-002</v>
      </c>
      <c r="K3" s="2">
        <f>K2/$P2</f>
        <v>9.375e-002</v>
      </c>
      <c r="L3" s="2">
        <f>L2/$P2</f>
        <v>0.46875</v>
      </c>
      <c r="M3" s="2">
        <f>M2/$P2</f>
        <v>0.28125</v>
      </c>
      <c r="N3" s="2">
        <f>N2/$P2</f>
        <v>9.375e-002</v>
      </c>
      <c r="O3" s="2">
        <f>O2/$P2</f>
        <v>3.125e-002</v>
      </c>
    </row>
    <row r="4" ht="14.25">
      <c r="A4" t="s">
        <v>8</v>
      </c>
      <c r="B4" t="s">
        <v>9</v>
      </c>
      <c r="C4">
        <v>162</v>
      </c>
      <c r="D4">
        <v>60</v>
      </c>
      <c r="E4">
        <v>165</v>
      </c>
      <c r="F4">
        <v>65</v>
      </c>
      <c r="G4">
        <v>45</v>
      </c>
      <c r="H4" s="3">
        <f t="shared" ref="H4:H9" si="0">COUNTIFS($F$2:$F$33,$G4)</f>
        <v>5</v>
      </c>
      <c r="I4" s="1">
        <f t="shared" ref="I4:I9" si="1">H4/H$12</f>
        <v>0.15625</v>
      </c>
      <c r="J4">
        <f t="shared" ref="J4:J9" si="2">COUNTIFS($F$2:$F$33,$G4,$E$2:$E$33,J$1)/$P$12</f>
        <v>3.125e-002</v>
      </c>
      <c r="K4" s="4">
        <f t="shared" ref="K4:K9" si="3">COUNTIFS($F$2:$F$33,$G4,$E$2:$E$33,K$1)/$P$12</f>
        <v>3.125e-002</v>
      </c>
      <c r="L4" s="4">
        <f t="shared" ref="L4:L9" si="4">COUNTIFS($F$2:$F$33,$G4,$E$2:$E$33,L$1)/$P$12</f>
        <v>9.375e-002</v>
      </c>
      <c r="M4" s="4">
        <f t="shared" ref="M4:M9" si="5">COUNTIFS($F$2:$F$33,$G4,$E$2:$E$33,M$1)/$P$12</f>
        <v>0</v>
      </c>
      <c r="N4" s="4">
        <f t="shared" ref="N4:N9" si="6">COUNTIFS($F$2:$F$33,$G4,$E$2:$E$33,N$1)/$P$12</f>
        <v>0</v>
      </c>
      <c r="O4" s="4">
        <f t="shared" ref="O4:O9" si="7">COUNTIFS($F$2:$F$33,$G4,$E$2:$E$33,O$1)/$P$12</f>
        <v>0</v>
      </c>
      <c r="P4" s="5">
        <f t="shared" ref="P4:P9" si="8">SUM(J4:O4)</f>
        <v>0.15625</v>
      </c>
    </row>
    <row r="5" ht="14.25">
      <c r="A5" t="s">
        <v>10</v>
      </c>
      <c r="B5" t="s">
        <v>11</v>
      </c>
      <c r="C5">
        <v>169</v>
      </c>
      <c r="D5">
        <v>69</v>
      </c>
      <c r="E5">
        <v>165</v>
      </c>
      <c r="F5">
        <v>65</v>
      </c>
      <c r="G5">
        <v>55</v>
      </c>
      <c r="H5" s="3">
        <f t="shared" si="0"/>
        <v>8</v>
      </c>
      <c r="I5" s="1">
        <f t="shared" si="1"/>
        <v>0.25</v>
      </c>
      <c r="J5" s="6">
        <f t="shared" si="2"/>
        <v>0</v>
      </c>
      <c r="K5" s="4">
        <f t="shared" si="3"/>
        <v>6.25e-002</v>
      </c>
      <c r="L5" s="4">
        <f t="shared" si="4"/>
        <v>9.375e-002</v>
      </c>
      <c r="M5" s="4">
        <f t="shared" si="5"/>
        <v>9.375e-002</v>
      </c>
      <c r="N5" s="4">
        <f t="shared" si="6"/>
        <v>0</v>
      </c>
      <c r="O5" s="4">
        <f t="shared" si="7"/>
        <v>0</v>
      </c>
      <c r="P5" s="5">
        <f t="shared" si="8"/>
        <v>0.25</v>
      </c>
    </row>
    <row r="6" ht="14.25">
      <c r="A6" t="s">
        <v>12</v>
      </c>
      <c r="B6" t="s">
        <v>9</v>
      </c>
      <c r="C6">
        <v>172</v>
      </c>
      <c r="D6">
        <v>70</v>
      </c>
      <c r="E6">
        <f t="shared" ref="E6:E9" si="9">FLOOR(C6,10)+5</f>
        <v>175</v>
      </c>
      <c r="F6">
        <v>75</v>
      </c>
      <c r="G6">
        <v>65</v>
      </c>
      <c r="H6" s="3">
        <f t="shared" si="0"/>
        <v>15</v>
      </c>
      <c r="I6" s="1">
        <f t="shared" si="1"/>
        <v>0.46875</v>
      </c>
      <c r="J6" s="4">
        <f t="shared" si="2"/>
        <v>0</v>
      </c>
      <c r="K6" s="4">
        <f t="shared" si="3"/>
        <v>0</v>
      </c>
      <c r="L6" s="4">
        <f t="shared" si="4"/>
        <v>0.28125</v>
      </c>
      <c r="M6" s="4">
        <f t="shared" si="5"/>
        <v>0.15625</v>
      </c>
      <c r="N6" s="4">
        <f t="shared" si="6"/>
        <v>3.125e-002</v>
      </c>
      <c r="O6" s="4">
        <f t="shared" si="7"/>
        <v>0</v>
      </c>
      <c r="P6" s="5">
        <f t="shared" si="8"/>
        <v>0.46875</v>
      </c>
    </row>
    <row r="7" ht="14.25">
      <c r="A7" t="s">
        <v>13</v>
      </c>
      <c r="B7" t="s">
        <v>14</v>
      </c>
      <c r="C7">
        <v>162</v>
      </c>
      <c r="D7">
        <v>55</v>
      </c>
      <c r="E7" s="4">
        <f t="shared" si="9"/>
        <v>165</v>
      </c>
      <c r="F7">
        <v>55</v>
      </c>
      <c r="G7">
        <v>75</v>
      </c>
      <c r="H7" s="3">
        <f t="shared" si="0"/>
        <v>3</v>
      </c>
      <c r="I7" s="1">
        <f t="shared" si="1"/>
        <v>9.375e-002</v>
      </c>
      <c r="J7" s="4">
        <f t="shared" si="2"/>
        <v>0</v>
      </c>
      <c r="K7" s="4">
        <f t="shared" si="3"/>
        <v>0</v>
      </c>
      <c r="L7" s="4">
        <f t="shared" si="4"/>
        <v>0</v>
      </c>
      <c r="M7" s="4">
        <f t="shared" si="5"/>
        <v>3.125e-002</v>
      </c>
      <c r="N7" s="4">
        <f t="shared" si="6"/>
        <v>3.125e-002</v>
      </c>
      <c r="O7" s="4">
        <f t="shared" si="7"/>
        <v>3.125e-002</v>
      </c>
      <c r="P7" s="5">
        <f t="shared" si="8"/>
        <v>9.375e-002</v>
      </c>
    </row>
    <row r="8" ht="14.25">
      <c r="A8" t="s">
        <v>15</v>
      </c>
      <c r="B8" t="s">
        <v>9</v>
      </c>
      <c r="C8" s="7">
        <v>174</v>
      </c>
      <c r="D8">
        <v>60</v>
      </c>
      <c r="E8" s="4">
        <f t="shared" si="9"/>
        <v>175</v>
      </c>
      <c r="F8">
        <v>65</v>
      </c>
      <c r="G8">
        <v>85</v>
      </c>
      <c r="H8" s="3">
        <f t="shared" si="0"/>
        <v>0</v>
      </c>
      <c r="I8" s="1">
        <f t="shared" si="1"/>
        <v>0</v>
      </c>
      <c r="J8" s="4">
        <f t="shared" si="2"/>
        <v>0</v>
      </c>
      <c r="K8" s="4">
        <f t="shared" si="3"/>
        <v>0</v>
      </c>
      <c r="L8" s="4">
        <f t="shared" si="4"/>
        <v>0</v>
      </c>
      <c r="M8" s="4">
        <f t="shared" si="5"/>
        <v>0</v>
      </c>
      <c r="N8" s="4">
        <f t="shared" si="6"/>
        <v>0</v>
      </c>
      <c r="O8" s="4">
        <f t="shared" si="7"/>
        <v>0</v>
      </c>
      <c r="P8" s="5">
        <f t="shared" si="8"/>
        <v>0</v>
      </c>
    </row>
    <row r="9" ht="14.25">
      <c r="A9" s="7" t="s">
        <v>16</v>
      </c>
      <c r="B9" s="7" t="s">
        <v>17</v>
      </c>
      <c r="C9">
        <v>162</v>
      </c>
      <c r="D9">
        <v>59</v>
      </c>
      <c r="E9" s="4">
        <f t="shared" si="9"/>
        <v>165</v>
      </c>
      <c r="F9">
        <v>55</v>
      </c>
      <c r="G9">
        <v>95</v>
      </c>
      <c r="H9" s="3">
        <f t="shared" si="0"/>
        <v>0</v>
      </c>
      <c r="I9" s="1">
        <f t="shared" si="1"/>
        <v>0</v>
      </c>
      <c r="J9" s="4">
        <f t="shared" si="2"/>
        <v>0</v>
      </c>
      <c r="K9" s="4">
        <f t="shared" si="3"/>
        <v>0</v>
      </c>
      <c r="L9" s="4">
        <f t="shared" si="4"/>
        <v>0</v>
      </c>
      <c r="M9" s="4">
        <f t="shared" si="5"/>
        <v>0</v>
      </c>
      <c r="N9" s="4">
        <f t="shared" si="6"/>
        <v>0</v>
      </c>
      <c r="O9" s="4">
        <f t="shared" si="7"/>
        <v>0</v>
      </c>
      <c r="P9" s="5">
        <f t="shared" si="8"/>
        <v>0</v>
      </c>
    </row>
    <row r="10" ht="14.25">
      <c r="A10" t="s">
        <v>18</v>
      </c>
      <c r="B10" t="s">
        <v>7</v>
      </c>
      <c r="C10">
        <v>172</v>
      </c>
      <c r="D10">
        <v>68</v>
      </c>
      <c r="E10" s="4">
        <f t="shared" ref="E10:E33" si="10">FLOOR(C10,10)+5</f>
        <v>175</v>
      </c>
      <c r="F10">
        <v>65</v>
      </c>
      <c r="G10">
        <v>105</v>
      </c>
      <c r="H10" s="3">
        <f t="shared" ref="H10:H11" si="11">COUNTIFS($F$2:$F$33,$G10)</f>
        <v>0</v>
      </c>
      <c r="I10" s="1">
        <f t="shared" ref="I10:I11" si="12">H10/H$12</f>
        <v>0</v>
      </c>
      <c r="J10" s="4">
        <f t="shared" ref="J10:J11" si="13">COUNTIFS($F$2:$F$33,$G10,$E$2:$E$33,J$1)/$P$12</f>
        <v>0</v>
      </c>
      <c r="K10" s="4">
        <f t="shared" ref="K10:K11" si="14">COUNTIFS($F$2:$F$33,$G10,$E$2:$E$33,K$1)/$P$12</f>
        <v>0</v>
      </c>
      <c r="L10" s="4">
        <f t="shared" ref="L10:L11" si="15">COUNTIFS($F$2:$F$33,$G10,$E$2:$E$33,L$1)/$P$12</f>
        <v>0</v>
      </c>
      <c r="M10" s="4">
        <f t="shared" ref="M10:M11" si="16">COUNTIFS($F$2:$F$33,$G10,$E$2:$E$33,M$1)/$P$12</f>
        <v>0</v>
      </c>
      <c r="N10" s="4">
        <f t="shared" ref="N10:N11" si="17">COUNTIFS($F$2:$F$33,$G10,$E$2:$E$33,N$1)/$P$12</f>
        <v>0</v>
      </c>
      <c r="O10" s="4">
        <f t="shared" ref="O10:O11" si="18">COUNTIFS($F$2:$F$33,$G10,$E$2:$E$33,O$1)/$P$12</f>
        <v>0</v>
      </c>
      <c r="P10" s="5">
        <f t="shared" ref="P10:P11" si="19">SUM(J10:O10)</f>
        <v>0</v>
      </c>
    </row>
    <row r="11" ht="14.25">
      <c r="A11" t="s">
        <v>19</v>
      </c>
      <c r="B11" t="s">
        <v>7</v>
      </c>
      <c r="C11">
        <v>185</v>
      </c>
      <c r="D11">
        <v>110</v>
      </c>
      <c r="E11" s="4">
        <f t="shared" si="10"/>
        <v>185</v>
      </c>
      <c r="F11">
        <v>115</v>
      </c>
      <c r="G11">
        <v>115</v>
      </c>
      <c r="H11">
        <f t="shared" si="11"/>
        <v>1</v>
      </c>
      <c r="I11" s="1">
        <f t="shared" si="12"/>
        <v>3.125e-002</v>
      </c>
      <c r="J11" s="4">
        <f t="shared" si="13"/>
        <v>0</v>
      </c>
      <c r="K11" s="4">
        <f t="shared" si="14"/>
        <v>0</v>
      </c>
      <c r="L11" s="4">
        <f t="shared" si="15"/>
        <v>0</v>
      </c>
      <c r="M11" s="4">
        <f t="shared" si="16"/>
        <v>0</v>
      </c>
      <c r="N11" s="4">
        <f t="shared" si="17"/>
        <v>3.125e-002</v>
      </c>
      <c r="O11" s="4">
        <f t="shared" si="18"/>
        <v>0</v>
      </c>
      <c r="P11" s="5">
        <f t="shared" si="19"/>
        <v>3.125e-002</v>
      </c>
    </row>
    <row r="12" ht="14.25">
      <c r="A12" t="s">
        <v>20</v>
      </c>
      <c r="B12" t="s">
        <v>7</v>
      </c>
      <c r="C12">
        <v>179</v>
      </c>
      <c r="D12">
        <v>65</v>
      </c>
      <c r="E12" s="4">
        <f t="shared" si="10"/>
        <v>175</v>
      </c>
      <c r="F12">
        <v>65</v>
      </c>
      <c r="H12">
        <f>SUM(H4:H11)</f>
        <v>32</v>
      </c>
      <c r="J12" s="5">
        <f>SUM(J4:J11)</f>
        <v>3.125e-002</v>
      </c>
      <c r="K12" s="5">
        <f>SUM(K4:K11)</f>
        <v>9.375e-002</v>
      </c>
      <c r="L12" s="5">
        <f>SUM(L4:L11)</f>
        <v>0.46875</v>
      </c>
      <c r="M12" s="5">
        <f>SUM(M4:M11)</f>
        <v>0.28125</v>
      </c>
      <c r="N12" s="5">
        <f>SUM(N4:N11)</f>
        <v>9.375e-002</v>
      </c>
      <c r="O12" s="5">
        <f>SUM(O4:O11)</f>
        <v>3.125e-002</v>
      </c>
      <c r="P12">
        <f>IF(H12=P2,H12,0)</f>
        <v>32</v>
      </c>
    </row>
    <row r="13" ht="14.25">
      <c r="A13" t="s">
        <v>21</v>
      </c>
      <c r="B13" t="s">
        <v>22</v>
      </c>
      <c r="C13">
        <v>175</v>
      </c>
      <c r="D13">
        <v>65</v>
      </c>
      <c r="E13" s="4">
        <f t="shared" si="10"/>
        <v>175</v>
      </c>
      <c r="F13">
        <v>65</v>
      </c>
    </row>
    <row r="14" ht="14.25">
      <c r="A14" t="s">
        <v>23</v>
      </c>
      <c r="B14" t="s">
        <v>9</v>
      </c>
      <c r="C14">
        <v>149</v>
      </c>
      <c r="D14">
        <v>48</v>
      </c>
      <c r="E14" s="4">
        <f t="shared" si="10"/>
        <v>145</v>
      </c>
      <c r="F14">
        <v>45</v>
      </c>
      <c r="G14">
        <f t="shared" ref="G14:G22" si="20">G1</f>
        <v>0</v>
      </c>
      <c r="H14" s="4">
        <f t="shared" ref="H14:H22" si="21">H1</f>
        <v>0</v>
      </c>
      <c r="I14" s="4">
        <f t="shared" ref="I14:I22" si="22">I1</f>
        <v>0</v>
      </c>
      <c r="J14" s="4">
        <f t="shared" ref="J14:J16" si="23">J1</f>
        <v>145</v>
      </c>
      <c r="K14" s="4">
        <f t="shared" ref="K14:K16" si="24">K1</f>
        <v>155</v>
      </c>
      <c r="L14" s="4">
        <f t="shared" ref="L14:L16" si="25">L1</f>
        <v>165</v>
      </c>
      <c r="M14" s="4">
        <f t="shared" ref="M14:M16" si="26">M1</f>
        <v>175</v>
      </c>
      <c r="N14" s="4">
        <f t="shared" ref="N14:N16" si="27">N1</f>
        <v>185</v>
      </c>
      <c r="O14" s="4">
        <f t="shared" ref="O14:O16" si="28">O1</f>
        <v>195</v>
      </c>
      <c r="P14" s="4">
        <f>P1</f>
        <v>0</v>
      </c>
    </row>
    <row r="15" ht="14.25">
      <c r="A15" t="s">
        <v>24</v>
      </c>
      <c r="B15" t="s">
        <v>25</v>
      </c>
      <c r="C15">
        <v>160</v>
      </c>
      <c r="D15">
        <v>49</v>
      </c>
      <c r="E15" s="4">
        <f t="shared" si="10"/>
        <v>165</v>
      </c>
      <c r="F15">
        <v>45</v>
      </c>
      <c r="G15" s="4">
        <f t="shared" si="20"/>
        <v>0</v>
      </c>
      <c r="H15" s="4">
        <f t="shared" si="21"/>
        <v>0</v>
      </c>
      <c r="I15" s="4">
        <f t="shared" si="22"/>
        <v>0</v>
      </c>
      <c r="J15" s="4">
        <f t="shared" si="23"/>
        <v>1</v>
      </c>
      <c r="K15" s="4">
        <f t="shared" si="24"/>
        <v>3</v>
      </c>
      <c r="L15" s="4">
        <f t="shared" si="25"/>
        <v>15</v>
      </c>
      <c r="M15" s="4">
        <f t="shared" si="26"/>
        <v>9</v>
      </c>
      <c r="N15" s="4">
        <f t="shared" si="27"/>
        <v>3</v>
      </c>
      <c r="O15" s="4">
        <f t="shared" si="28"/>
        <v>1</v>
      </c>
    </row>
    <row r="16" ht="14.25">
      <c r="A16" t="s">
        <v>26</v>
      </c>
      <c r="B16" t="s">
        <v>22</v>
      </c>
      <c r="C16">
        <v>160</v>
      </c>
      <c r="D16">
        <v>60</v>
      </c>
      <c r="E16" s="4">
        <f t="shared" si="10"/>
        <v>165</v>
      </c>
      <c r="F16">
        <v>65</v>
      </c>
      <c r="G16" s="4">
        <f t="shared" si="20"/>
        <v>0</v>
      </c>
      <c r="H16" s="4">
        <f t="shared" si="21"/>
        <v>0</v>
      </c>
      <c r="I16" s="8">
        <f t="shared" si="22"/>
        <v>0</v>
      </c>
      <c r="J16" s="8">
        <f t="shared" si="23"/>
        <v>3.125e-002</v>
      </c>
      <c r="K16" s="8">
        <f t="shared" si="24"/>
        <v>9.375e-002</v>
      </c>
      <c r="L16" s="8">
        <f t="shared" si="25"/>
        <v>0.46875</v>
      </c>
      <c r="M16" s="8">
        <f t="shared" si="26"/>
        <v>0.28125</v>
      </c>
      <c r="N16" s="8">
        <f t="shared" si="27"/>
        <v>9.375e-002</v>
      </c>
      <c r="O16" s="8">
        <f t="shared" si="28"/>
        <v>3.125e-002</v>
      </c>
    </row>
    <row r="17" ht="14.25">
      <c r="A17" t="s">
        <v>27</v>
      </c>
      <c r="B17" t="s">
        <v>22</v>
      </c>
      <c r="C17">
        <v>190</v>
      </c>
      <c r="D17">
        <v>77</v>
      </c>
      <c r="E17" s="4">
        <f t="shared" si="10"/>
        <v>195</v>
      </c>
      <c r="F17">
        <v>75</v>
      </c>
      <c r="G17" s="4">
        <f t="shared" si="20"/>
        <v>45</v>
      </c>
      <c r="H17" s="4">
        <f t="shared" si="21"/>
        <v>5</v>
      </c>
      <c r="I17" s="8">
        <f t="shared" si="22"/>
        <v>0.15625</v>
      </c>
      <c r="J17" s="4">
        <f t="shared" ref="J17:J24" si="29">$I17*J$16</f>
        <v>4.8828125e-003</v>
      </c>
      <c r="K17" s="4">
        <f t="shared" ref="K17:K24" si="30">$I17*K$16</f>
        <v>1.46484375e-002</v>
      </c>
      <c r="L17" s="4">
        <f t="shared" ref="L17:L24" si="31">$I17*L$16</f>
        <v>7.32421875e-002</v>
      </c>
      <c r="M17" s="4">
        <f t="shared" ref="M17:M24" si="32">$I17*M$16</f>
        <v>4.39453125e-002</v>
      </c>
      <c r="N17" s="4">
        <f t="shared" ref="N17:N24" si="33">$I17*N$16</f>
        <v>1.46484375e-002</v>
      </c>
      <c r="O17" s="4">
        <f t="shared" ref="O17:O24" si="34">$I17*O$16</f>
        <v>4.8828125e-003</v>
      </c>
      <c r="P17" s="5">
        <f t="shared" ref="P17:P24" si="35">SUM(J17:O17)</f>
        <v>0.15625</v>
      </c>
    </row>
    <row r="18" ht="14.25">
      <c r="A18" t="s">
        <v>28</v>
      </c>
      <c r="B18" t="s">
        <v>5</v>
      </c>
      <c r="C18">
        <v>168</v>
      </c>
      <c r="D18">
        <v>65</v>
      </c>
      <c r="E18" s="4">
        <f t="shared" si="10"/>
        <v>165</v>
      </c>
      <c r="F18">
        <v>65</v>
      </c>
      <c r="G18" s="4">
        <f t="shared" si="20"/>
        <v>55</v>
      </c>
      <c r="H18" s="4">
        <f t="shared" si="21"/>
        <v>8</v>
      </c>
      <c r="I18" s="8">
        <f t="shared" si="22"/>
        <v>0.25</v>
      </c>
      <c r="J18" s="4">
        <f t="shared" si="29"/>
        <v>7.8125e-003</v>
      </c>
      <c r="K18" s="4">
        <f t="shared" si="30"/>
        <v>2.34375e-002</v>
      </c>
      <c r="L18" s="4">
        <f t="shared" si="31"/>
        <v>0.1171875</v>
      </c>
      <c r="M18" s="4">
        <f t="shared" si="32"/>
        <v>7.03125e-002</v>
      </c>
      <c r="N18" s="4">
        <f t="shared" si="33"/>
        <v>2.34375e-002</v>
      </c>
      <c r="O18" s="4">
        <f t="shared" si="34"/>
        <v>7.8125e-003</v>
      </c>
      <c r="P18" s="9">
        <f t="shared" si="35"/>
        <v>0.25</v>
      </c>
    </row>
    <row r="19" ht="14.25">
      <c r="A19" t="s">
        <v>29</v>
      </c>
      <c r="B19" t="s">
        <v>22</v>
      </c>
      <c r="C19">
        <v>160</v>
      </c>
      <c r="D19">
        <v>60</v>
      </c>
      <c r="E19" s="4">
        <f t="shared" si="10"/>
        <v>165</v>
      </c>
      <c r="F19">
        <v>65</v>
      </c>
      <c r="G19" s="4">
        <f t="shared" si="20"/>
        <v>65</v>
      </c>
      <c r="H19" s="4">
        <f t="shared" si="21"/>
        <v>15</v>
      </c>
      <c r="I19" s="8">
        <f t="shared" si="22"/>
        <v>0.46875</v>
      </c>
      <c r="J19" s="4">
        <f t="shared" si="29"/>
        <v>1.46484375e-002</v>
      </c>
      <c r="K19" s="4">
        <f t="shared" si="30"/>
        <v>4.39453125e-002</v>
      </c>
      <c r="L19" s="4">
        <f t="shared" si="31"/>
        <v>0.2197265625</v>
      </c>
      <c r="M19" s="4">
        <f t="shared" si="32"/>
        <v>0.1318359375</v>
      </c>
      <c r="N19" s="4">
        <f t="shared" si="33"/>
        <v>4.39453125e-002</v>
      </c>
      <c r="O19" s="4">
        <f t="shared" si="34"/>
        <v>1.46484375e-002</v>
      </c>
      <c r="P19" s="9">
        <f t="shared" si="35"/>
        <v>0.46875</v>
      </c>
    </row>
    <row r="20" ht="14.25">
      <c r="A20" t="s">
        <v>30</v>
      </c>
      <c r="B20" t="s">
        <v>31</v>
      </c>
      <c r="C20">
        <v>166</v>
      </c>
      <c r="D20">
        <v>68</v>
      </c>
      <c r="E20" s="4">
        <f t="shared" si="10"/>
        <v>165</v>
      </c>
      <c r="F20">
        <v>65</v>
      </c>
      <c r="G20" s="4">
        <f t="shared" si="20"/>
        <v>75</v>
      </c>
      <c r="H20" s="4">
        <f t="shared" si="21"/>
        <v>3</v>
      </c>
      <c r="I20" s="8">
        <f t="shared" si="22"/>
        <v>9.375e-002</v>
      </c>
      <c r="J20" s="4">
        <f t="shared" si="29"/>
        <v>2.9296875e-003</v>
      </c>
      <c r="K20" s="4">
        <f t="shared" si="30"/>
        <v>8.7890625e-003</v>
      </c>
      <c r="L20" s="4">
        <f t="shared" si="31"/>
        <v>4.39453125e-002</v>
      </c>
      <c r="M20" s="4">
        <f t="shared" si="32"/>
        <v>2.63671875e-002</v>
      </c>
      <c r="N20" s="4">
        <f t="shared" si="33"/>
        <v>8.7890625e-003</v>
      </c>
      <c r="O20" s="4">
        <f t="shared" si="34"/>
        <v>2.9296875e-003</v>
      </c>
      <c r="P20" s="9">
        <f t="shared" si="35"/>
        <v>9.375e-002</v>
      </c>
    </row>
    <row r="21" ht="14.25">
      <c r="A21" t="s">
        <v>32</v>
      </c>
      <c r="B21" t="s">
        <v>33</v>
      </c>
      <c r="C21">
        <v>160</v>
      </c>
      <c r="D21">
        <v>65</v>
      </c>
      <c r="E21" s="4">
        <f t="shared" si="10"/>
        <v>165</v>
      </c>
      <c r="F21">
        <v>65</v>
      </c>
      <c r="G21" s="4">
        <f t="shared" si="20"/>
        <v>85</v>
      </c>
      <c r="H21" s="4">
        <f t="shared" si="21"/>
        <v>0</v>
      </c>
      <c r="I21" s="8">
        <f t="shared" si="22"/>
        <v>0</v>
      </c>
      <c r="J21" s="4">
        <f t="shared" si="29"/>
        <v>0</v>
      </c>
      <c r="K21" s="4">
        <f t="shared" si="30"/>
        <v>0</v>
      </c>
      <c r="L21" s="4">
        <f t="shared" si="31"/>
        <v>0</v>
      </c>
      <c r="M21" s="4">
        <f t="shared" si="32"/>
        <v>0</v>
      </c>
      <c r="N21" s="4">
        <f t="shared" si="33"/>
        <v>0</v>
      </c>
      <c r="O21" s="4">
        <f t="shared" si="34"/>
        <v>0</v>
      </c>
      <c r="P21" s="9">
        <f t="shared" si="35"/>
        <v>0</v>
      </c>
    </row>
    <row r="22" ht="14.25">
      <c r="A22" t="s">
        <v>34</v>
      </c>
      <c r="B22" t="s">
        <v>22</v>
      </c>
      <c r="C22">
        <v>165</v>
      </c>
      <c r="D22">
        <v>53</v>
      </c>
      <c r="E22" s="4">
        <f t="shared" si="10"/>
        <v>165</v>
      </c>
      <c r="F22">
        <v>55</v>
      </c>
      <c r="G22" s="4">
        <f t="shared" si="20"/>
        <v>95</v>
      </c>
      <c r="H22" s="4">
        <f t="shared" si="21"/>
        <v>0</v>
      </c>
      <c r="I22" s="8">
        <f t="shared" si="22"/>
        <v>0</v>
      </c>
      <c r="J22" s="4">
        <f t="shared" si="29"/>
        <v>0</v>
      </c>
      <c r="K22" s="4">
        <f t="shared" si="30"/>
        <v>0</v>
      </c>
      <c r="L22" s="4">
        <f t="shared" si="31"/>
        <v>0</v>
      </c>
      <c r="M22" s="4">
        <f t="shared" si="32"/>
        <v>0</v>
      </c>
      <c r="N22" s="4">
        <f t="shared" si="33"/>
        <v>0</v>
      </c>
      <c r="O22" s="4">
        <f t="shared" si="34"/>
        <v>0</v>
      </c>
      <c r="P22" s="9">
        <f t="shared" si="35"/>
        <v>0</v>
      </c>
    </row>
    <row r="23" ht="14.25">
      <c r="A23" t="s">
        <v>35</v>
      </c>
      <c r="B23" t="s">
        <v>22</v>
      </c>
      <c r="C23">
        <v>171</v>
      </c>
      <c r="D23">
        <v>56</v>
      </c>
      <c r="E23" s="4">
        <f t="shared" si="10"/>
        <v>175</v>
      </c>
      <c r="F23">
        <v>55</v>
      </c>
      <c r="G23" s="4">
        <f t="shared" ref="G23:G27" si="36">G10</f>
        <v>105</v>
      </c>
      <c r="H23" s="4">
        <f t="shared" ref="H23:H24" si="37">H10</f>
        <v>0</v>
      </c>
      <c r="I23" s="8">
        <f t="shared" ref="I23:I24" si="38">I10</f>
        <v>0</v>
      </c>
      <c r="J23" s="4">
        <f t="shared" si="29"/>
        <v>0</v>
      </c>
      <c r="K23" s="4">
        <f t="shared" si="30"/>
        <v>0</v>
      </c>
      <c r="L23" s="4">
        <f t="shared" si="31"/>
        <v>0</v>
      </c>
      <c r="M23" s="4">
        <f t="shared" si="32"/>
        <v>0</v>
      </c>
      <c r="N23" s="4">
        <f t="shared" si="33"/>
        <v>0</v>
      </c>
      <c r="O23" s="4">
        <f t="shared" si="34"/>
        <v>0</v>
      </c>
      <c r="P23" s="9">
        <f t="shared" si="35"/>
        <v>0</v>
      </c>
    </row>
    <row r="24" ht="14.25">
      <c r="A24" t="s">
        <v>36</v>
      </c>
      <c r="B24" t="s">
        <v>31</v>
      </c>
      <c r="C24">
        <v>150</v>
      </c>
      <c r="D24">
        <v>43</v>
      </c>
      <c r="E24" s="4">
        <f t="shared" si="10"/>
        <v>155</v>
      </c>
      <c r="F24">
        <v>45</v>
      </c>
      <c r="G24" s="4">
        <f t="shared" si="36"/>
        <v>115</v>
      </c>
      <c r="H24" s="4">
        <f t="shared" si="37"/>
        <v>1</v>
      </c>
      <c r="I24" s="8">
        <f t="shared" si="38"/>
        <v>3.125e-002</v>
      </c>
      <c r="J24" s="4">
        <f t="shared" si="29"/>
        <v>9.765625e-004</v>
      </c>
      <c r="K24" s="4">
        <f t="shared" si="30"/>
        <v>2.9296875e-003</v>
      </c>
      <c r="L24" s="4">
        <f t="shared" si="31"/>
        <v>1.46484375e-002</v>
      </c>
      <c r="M24" s="4">
        <f t="shared" si="32"/>
        <v>8.7890625e-003</v>
      </c>
      <c r="N24" s="4">
        <f t="shared" si="33"/>
        <v>2.9296875e-003</v>
      </c>
      <c r="O24" s="4">
        <f t="shared" si="34"/>
        <v>9.765625e-004</v>
      </c>
      <c r="P24" s="9">
        <f t="shared" si="35"/>
        <v>3.125e-002</v>
      </c>
    </row>
    <row r="25" ht="14.25">
      <c r="A25" t="s">
        <v>37</v>
      </c>
      <c r="B25" t="s">
        <v>25</v>
      </c>
      <c r="C25">
        <v>174</v>
      </c>
      <c r="D25">
        <v>65</v>
      </c>
      <c r="E25" s="4">
        <f t="shared" si="10"/>
        <v>175</v>
      </c>
      <c r="F25">
        <v>65</v>
      </c>
      <c r="G25" s="4">
        <f t="shared" si="36"/>
        <v>0</v>
      </c>
      <c r="I25">
        <f>SUM(J25:O25)</f>
        <v>1</v>
      </c>
      <c r="J25" s="5">
        <f>SUM(J17:J24)</f>
        <v>3.125e-002</v>
      </c>
      <c r="K25" s="9">
        <f>SUM(K17:K24)</f>
        <v>9.375e-002</v>
      </c>
      <c r="L25" s="9">
        <f>SUM(L17:L24)</f>
        <v>0.46875</v>
      </c>
      <c r="M25" s="9">
        <f>SUM(M17:M24)</f>
        <v>0.28125</v>
      </c>
      <c r="N25" s="9">
        <f>SUM(N17:N24)</f>
        <v>9.375e-002</v>
      </c>
      <c r="O25" s="9">
        <f>SUM(O17:O24)</f>
        <v>3.125e-002</v>
      </c>
      <c r="P25" s="7"/>
    </row>
    <row r="26" ht="14.25">
      <c r="A26" t="s">
        <v>38</v>
      </c>
      <c r="B26" t="s">
        <v>14</v>
      </c>
      <c r="C26">
        <v>163</v>
      </c>
      <c r="D26">
        <v>48</v>
      </c>
      <c r="E26" s="4">
        <f t="shared" si="10"/>
        <v>165</v>
      </c>
      <c r="F26">
        <v>45</v>
      </c>
      <c r="G26" s="4">
        <f t="shared" si="36"/>
        <v>0</v>
      </c>
    </row>
    <row r="27" ht="14.25">
      <c r="A27" t="s">
        <v>34</v>
      </c>
      <c r="B27" t="s">
        <v>39</v>
      </c>
      <c r="C27">
        <v>180</v>
      </c>
      <c r="D27">
        <v>70</v>
      </c>
      <c r="E27" s="4">
        <f t="shared" si="10"/>
        <v>185</v>
      </c>
      <c r="F27">
        <v>75</v>
      </c>
      <c r="G27" s="4">
        <f t="shared" si="36"/>
        <v>0</v>
      </c>
    </row>
    <row r="28" ht="14.25">
      <c r="A28" t="s">
        <v>40</v>
      </c>
      <c r="B28" t="s">
        <v>9</v>
      </c>
      <c r="C28">
        <v>163</v>
      </c>
      <c r="D28">
        <v>65</v>
      </c>
      <c r="E28" s="4">
        <f t="shared" si="10"/>
        <v>165</v>
      </c>
      <c r="F28">
        <v>65</v>
      </c>
    </row>
    <row r="29" ht="14.25">
      <c r="A29" t="s">
        <v>41</v>
      </c>
      <c r="B29" t="s">
        <v>33</v>
      </c>
      <c r="C29">
        <v>184</v>
      </c>
      <c r="D29">
        <v>65</v>
      </c>
      <c r="E29" s="4">
        <f t="shared" si="10"/>
        <v>185</v>
      </c>
      <c r="F29">
        <v>65</v>
      </c>
    </row>
    <row r="30" ht="14.25">
      <c r="A30" t="s">
        <v>42</v>
      </c>
      <c r="B30" t="s">
        <v>43</v>
      </c>
      <c r="C30">
        <v>175</v>
      </c>
      <c r="D30">
        <v>59</v>
      </c>
      <c r="E30" s="4">
        <f t="shared" si="10"/>
        <v>175</v>
      </c>
      <c r="F30">
        <v>55</v>
      </c>
    </row>
    <row r="31" ht="14.25">
      <c r="A31" t="s">
        <v>44</v>
      </c>
      <c r="B31" t="s">
        <v>22</v>
      </c>
      <c r="C31">
        <v>162</v>
      </c>
      <c r="D31">
        <v>67</v>
      </c>
      <c r="E31" s="4">
        <f t="shared" si="10"/>
        <v>165</v>
      </c>
      <c r="F31">
        <v>65</v>
      </c>
    </row>
    <row r="32" ht="14.25">
      <c r="A32" t="s">
        <v>45</v>
      </c>
      <c r="B32" t="s">
        <v>39</v>
      </c>
      <c r="C32">
        <v>150</v>
      </c>
      <c r="D32">
        <v>50</v>
      </c>
      <c r="E32" s="4">
        <f t="shared" si="10"/>
        <v>155</v>
      </c>
      <c r="F32">
        <v>55</v>
      </c>
    </row>
    <row r="33" ht="14.25">
      <c r="A33" t="s">
        <v>46</v>
      </c>
      <c r="B33" t="s">
        <v>7</v>
      </c>
      <c r="C33">
        <v>176</v>
      </c>
      <c r="D33">
        <v>55</v>
      </c>
      <c r="E33" s="4">
        <f t="shared" si="10"/>
        <v>175</v>
      </c>
      <c r="F33">
        <v>55</v>
      </c>
    </row>
    <row r="34" ht="14.25">
      <c r="H34" t="s">
        <v>47</v>
      </c>
      <c r="I34" s="3"/>
    </row>
    <row r="35" ht="14.25">
      <c r="A35" t="s">
        <v>48</v>
      </c>
      <c r="C35">
        <f>MIN(C2:C33)</f>
        <v>149</v>
      </c>
      <c r="D35" s="4">
        <f>MIN(D2:D33)</f>
        <v>40</v>
      </c>
      <c r="E35" s="4">
        <f>MIN(E2:E33)</f>
        <v>145</v>
      </c>
      <c r="F35" s="4">
        <f>MIN(F2:F33)</f>
        <v>45</v>
      </c>
    </row>
    <row r="36" ht="14.25">
      <c r="A36" t="s">
        <v>49</v>
      </c>
      <c r="C36">
        <f>MAX(C2:C33)</f>
        <v>190</v>
      </c>
      <c r="D36" s="4">
        <f>MAX(D2:D33)</f>
        <v>110</v>
      </c>
      <c r="E36" s="4">
        <f>MAX(E2:E33)</f>
        <v>195</v>
      </c>
      <c r="F36" s="4">
        <f>MAX(F2:F33)</f>
        <v>115</v>
      </c>
    </row>
    <row r="37" ht="14.25">
      <c r="E37" s="4"/>
      <c r="F37" s="4"/>
    </row>
    <row r="38" ht="14.25">
      <c r="A38" t="s">
        <v>50</v>
      </c>
      <c r="C38">
        <f>AVERAGE(C1:C33)</f>
        <v>167.375</v>
      </c>
      <c r="D38" s="4">
        <f>AVERAGE(D1:D33)</f>
        <v>61.46875</v>
      </c>
      <c r="E38" s="4">
        <f>AVERAGE(E1:E33)</f>
        <v>169.0625</v>
      </c>
      <c r="F38" s="4">
        <f>AVERAGE(F1:F33)</f>
        <v>61.875</v>
      </c>
    </row>
    <row r="39" ht="14.25">
      <c r="A39" t="s">
        <v>51</v>
      </c>
      <c r="C39">
        <f>_xlfn.VAR.P(C2:C33)</f>
        <v>99.796875</v>
      </c>
      <c r="D39" s="4">
        <f>_xlfn.VAR.P(D2:D33)</f>
        <v>145.9990234375</v>
      </c>
      <c r="E39" s="4">
        <f>_xlfn.VAR.P(E2:E33)</f>
        <v>99.12109375</v>
      </c>
      <c r="F39" s="4">
        <f>_xlfn.VAR.P(F2:F33)</f>
        <v>165.234375</v>
      </c>
    </row>
    <row r="40" ht="14.25">
      <c r="A40" t="s">
        <v>52</v>
      </c>
      <c r="C40">
        <f>SQRT(C39)</f>
        <v>9.9898385872845807</v>
      </c>
      <c r="D40" s="4">
        <f>SQRT(D39)</f>
        <v>12.083005563083217</v>
      </c>
      <c r="E40" s="4">
        <f>SQRT(E39)</f>
        <v>9.9559577012962439</v>
      </c>
      <c r="F40" s="4">
        <f>SQRT(F39)</f>
        <v>12.854352375751958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7" zoomScale="100" workbookViewId="0">
      <selection activeCell="A1" activeCellId="0" sqref="A1"/>
    </sheetView>
  </sheetViews>
  <sheetFormatPr defaultRowHeight="14.25"/>
  <cols>
    <col customWidth="1" min="1" max="13" width="9.140625"/>
    <col bestFit="1" customWidth="1" min="14" max="16" width="11.32421875"/>
    <col customWidth="1" min="17" max="24" width="9.140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3</v>
      </c>
      <c r="G1" s="10" t="s">
        <v>53</v>
      </c>
      <c r="H1" s="4"/>
      <c r="I1" s="4"/>
      <c r="J1" s="11" t="s">
        <v>54</v>
      </c>
      <c r="K1" s="11">
        <v>145</v>
      </c>
      <c r="L1" s="11">
        <v>155</v>
      </c>
      <c r="M1" s="11">
        <v>165</v>
      </c>
      <c r="N1" s="11">
        <v>175</v>
      </c>
      <c r="O1" s="11">
        <v>185</v>
      </c>
      <c r="P1" s="11">
        <v>195</v>
      </c>
      <c r="Q1" s="11"/>
      <c r="R1" s="4"/>
      <c r="S1" s="4"/>
      <c r="T1" s="4"/>
      <c r="U1" s="4"/>
      <c r="V1" s="4"/>
      <c r="W1" s="4"/>
      <c r="X1" s="4"/>
    </row>
    <row r="2" ht="14.25">
      <c r="A2" t="s">
        <v>4</v>
      </c>
      <c r="B2" t="s">
        <v>5</v>
      </c>
      <c r="C2" s="4">
        <v>158</v>
      </c>
      <c r="D2" s="4">
        <v>58</v>
      </c>
      <c r="E2" s="4">
        <v>155</v>
      </c>
      <c r="F2" s="4">
        <v>55</v>
      </c>
      <c r="G2" s="4">
        <v>1</v>
      </c>
      <c r="H2" s="4"/>
      <c r="I2" s="4"/>
      <c r="J2" s="11"/>
      <c r="K2" s="12">
        <f>COUNTIFS($E$2:$E$33,K$1)</f>
        <v>1</v>
      </c>
      <c r="L2" s="11">
        <f>COUNTIFS($E$2:$E$33,L$1)</f>
        <v>3</v>
      </c>
      <c r="M2" s="11">
        <f>COUNTIFS($E$2:$E$33,M$1)</f>
        <v>15</v>
      </c>
      <c r="N2" s="11">
        <f>COUNTIFS($E$2:$E$33,N$1)</f>
        <v>9</v>
      </c>
      <c r="O2" s="11">
        <f>COUNTIFS($E$2:$E$33,O$1)</f>
        <v>3</v>
      </c>
      <c r="P2" s="11">
        <f>COUNTIFS($E$2:$E$33,P$1)</f>
        <v>1</v>
      </c>
      <c r="Q2" s="11">
        <f>SUM(K2:P2)</f>
        <v>32</v>
      </c>
      <c r="R2" s="4"/>
      <c r="S2" s="4"/>
      <c r="T2" s="4"/>
      <c r="U2" s="4"/>
      <c r="V2" s="4"/>
      <c r="W2" s="4"/>
      <c r="X2" s="4"/>
    </row>
    <row r="3" ht="14.25">
      <c r="A3" t="s">
        <v>6</v>
      </c>
      <c r="B3" t="s">
        <v>7</v>
      </c>
      <c r="C3" s="4">
        <v>160</v>
      </c>
      <c r="D3" s="4">
        <v>40</v>
      </c>
      <c r="E3" s="4">
        <v>165</v>
      </c>
      <c r="F3" s="4">
        <v>45</v>
      </c>
      <c r="G3" s="4">
        <v>4</v>
      </c>
      <c r="H3" s="11" t="s">
        <v>55</v>
      </c>
      <c r="I3" s="12"/>
      <c r="K3" s="1">
        <f>K2/$Q2</f>
        <v>3.125e-002</v>
      </c>
      <c r="L3" s="2">
        <f>L2/$Q2</f>
        <v>9.375e-002</v>
      </c>
      <c r="M3" s="2">
        <f>M2/$Q2</f>
        <v>0.46875</v>
      </c>
      <c r="N3" s="2">
        <f>N2/$Q2</f>
        <v>0.28125</v>
      </c>
      <c r="O3" s="2">
        <f>O2/$Q2</f>
        <v>9.375e-002</v>
      </c>
      <c r="P3" s="2">
        <f>P2/$Q2</f>
        <v>3.125e-002</v>
      </c>
      <c r="Q3" s="4"/>
      <c r="R3" s="4"/>
      <c r="S3" s="4"/>
      <c r="T3" s="4"/>
      <c r="U3" s="4"/>
      <c r="V3" s="4"/>
      <c r="W3" s="4"/>
      <c r="X3" s="4"/>
    </row>
    <row r="4" ht="14.25">
      <c r="A4" t="s">
        <v>8</v>
      </c>
      <c r="B4" t="s">
        <v>9</v>
      </c>
      <c r="C4" s="4">
        <v>162</v>
      </c>
      <c r="D4" s="4">
        <v>60</v>
      </c>
      <c r="E4" s="4">
        <v>165</v>
      </c>
      <c r="F4" s="4">
        <v>65</v>
      </c>
      <c r="G4" s="4">
        <v>2</v>
      </c>
      <c r="H4" s="11">
        <v>45</v>
      </c>
      <c r="I4" s="12">
        <f t="shared" ref="I4:I9" si="39">COUNTIFS($F$2:$F$33,$H4)</f>
        <v>5</v>
      </c>
      <c r="J4" s="1">
        <f t="shared" ref="J4:J9" si="40">I4/I$12</f>
        <v>0.15625</v>
      </c>
      <c r="K4" s="4">
        <f t="shared" ref="K4:K9" si="41">COUNTIFS($F$2:$F$33,$H4,$E$2:$E$33,K$1)/$Q$12</f>
        <v>3.125e-002</v>
      </c>
      <c r="L4" s="4">
        <f t="shared" ref="L4:L9" si="42">COUNTIFS($F$2:$F$33,$H4,$E$2:$E$33,L$1)/$Q$12</f>
        <v>3.125e-002</v>
      </c>
      <c r="M4" s="4">
        <f t="shared" ref="M4:M9" si="43">COUNTIFS($F$2:$F$33,$H4,$E$2:$E$33,M$1)/$Q$12</f>
        <v>9.375e-002</v>
      </c>
      <c r="N4" s="4">
        <f t="shared" ref="N4:N9" si="44">COUNTIFS($F$2:$F$33,$H4,$E$2:$E$33,N$1)/$Q$12</f>
        <v>0</v>
      </c>
      <c r="O4" s="4">
        <f t="shared" ref="O4:O9" si="45">COUNTIFS($F$2:$F$33,$H4,$E$2:$E$33,O$1)/$Q$12</f>
        <v>0</v>
      </c>
      <c r="P4" s="4">
        <f t="shared" ref="P4:P9" si="46">COUNTIFS($F$2:$F$33,$H4,$E$2:$E$33,P$1)/$Q$12</f>
        <v>0</v>
      </c>
      <c r="Q4" s="5">
        <f t="shared" ref="Q4:Q9" si="47">SUM(K4:P4)</f>
        <v>0.15625</v>
      </c>
      <c r="R4" s="4"/>
      <c r="S4" s="4"/>
      <c r="T4" s="4"/>
      <c r="U4" s="4"/>
      <c r="V4" s="4"/>
      <c r="W4" s="4"/>
      <c r="X4" s="4"/>
    </row>
    <row r="5" ht="14.25">
      <c r="A5" t="s">
        <v>10</v>
      </c>
      <c r="B5" t="s">
        <v>11</v>
      </c>
      <c r="C5" s="4">
        <v>169</v>
      </c>
      <c r="D5" s="4">
        <v>69</v>
      </c>
      <c r="E5" s="4">
        <v>165</v>
      </c>
      <c r="F5" s="4">
        <v>65</v>
      </c>
      <c r="G5" s="4">
        <v>4</v>
      </c>
      <c r="H5" s="11">
        <v>55</v>
      </c>
      <c r="I5" s="12">
        <f t="shared" si="39"/>
        <v>8</v>
      </c>
      <c r="J5" s="1">
        <f t="shared" si="40"/>
        <v>0.25</v>
      </c>
      <c r="K5" s="4">
        <f t="shared" si="41"/>
        <v>0</v>
      </c>
      <c r="L5" s="4">
        <f t="shared" si="42"/>
        <v>6.25e-002</v>
      </c>
      <c r="M5" s="4">
        <f t="shared" si="43"/>
        <v>9.375e-002</v>
      </c>
      <c r="N5" s="4">
        <f t="shared" si="44"/>
        <v>9.375e-002</v>
      </c>
      <c r="O5" s="4">
        <f t="shared" si="45"/>
        <v>0</v>
      </c>
      <c r="P5" s="4">
        <f t="shared" si="46"/>
        <v>0</v>
      </c>
      <c r="Q5" s="5">
        <f t="shared" si="47"/>
        <v>0.25</v>
      </c>
      <c r="R5" s="4"/>
      <c r="S5" s="4"/>
      <c r="T5" s="4"/>
      <c r="U5" s="4"/>
      <c r="V5" s="4"/>
      <c r="W5" s="4"/>
      <c r="X5" s="4"/>
    </row>
    <row r="6" ht="14.25">
      <c r="A6" t="s">
        <v>12</v>
      </c>
      <c r="B6" t="s">
        <v>9</v>
      </c>
      <c r="C6" s="4">
        <v>172</v>
      </c>
      <c r="D6" s="4">
        <v>70</v>
      </c>
      <c r="E6" s="4">
        <f t="shared" ref="E6:E9" si="48">FLOOR(C6,10)+5</f>
        <v>175</v>
      </c>
      <c r="F6" s="4">
        <v>75</v>
      </c>
      <c r="G6" s="4">
        <v>2</v>
      </c>
      <c r="H6" s="11">
        <v>65</v>
      </c>
      <c r="I6" s="12">
        <f t="shared" si="39"/>
        <v>15</v>
      </c>
      <c r="J6" s="1">
        <f t="shared" si="40"/>
        <v>0.46875</v>
      </c>
      <c r="K6" s="4">
        <f t="shared" si="41"/>
        <v>0</v>
      </c>
      <c r="L6" s="4">
        <f t="shared" si="42"/>
        <v>0</v>
      </c>
      <c r="M6" s="4">
        <f t="shared" si="43"/>
        <v>0.28125</v>
      </c>
      <c r="N6" s="4">
        <f t="shared" si="44"/>
        <v>0.15625</v>
      </c>
      <c r="O6" s="4">
        <f t="shared" si="45"/>
        <v>3.125e-002</v>
      </c>
      <c r="P6" s="4">
        <f t="shared" si="46"/>
        <v>0</v>
      </c>
      <c r="Q6" s="5">
        <f t="shared" si="47"/>
        <v>0.46875</v>
      </c>
      <c r="R6" s="4"/>
      <c r="S6" s="4"/>
      <c r="T6" s="4"/>
      <c r="U6" s="4"/>
      <c r="V6" s="4"/>
      <c r="W6" s="4"/>
      <c r="X6" s="4"/>
    </row>
    <row r="7" ht="14.25">
      <c r="A7" t="s">
        <v>13</v>
      </c>
      <c r="B7" t="s">
        <v>14</v>
      </c>
      <c r="C7" s="4">
        <v>162</v>
      </c>
      <c r="D7" s="4">
        <v>55</v>
      </c>
      <c r="E7" s="4">
        <f t="shared" si="48"/>
        <v>165</v>
      </c>
      <c r="F7" s="4">
        <v>55</v>
      </c>
      <c r="G7" s="4">
        <v>3</v>
      </c>
      <c r="H7" s="11">
        <v>75</v>
      </c>
      <c r="I7" s="12">
        <f t="shared" si="39"/>
        <v>3</v>
      </c>
      <c r="J7" s="1">
        <f t="shared" si="40"/>
        <v>9.375e-002</v>
      </c>
      <c r="K7" s="4">
        <f t="shared" si="41"/>
        <v>0</v>
      </c>
      <c r="L7" s="4">
        <f t="shared" si="42"/>
        <v>0</v>
      </c>
      <c r="M7" s="4">
        <f t="shared" si="43"/>
        <v>0</v>
      </c>
      <c r="N7" s="4">
        <f t="shared" si="44"/>
        <v>3.125e-002</v>
      </c>
      <c r="O7" s="4">
        <f t="shared" si="45"/>
        <v>3.125e-002</v>
      </c>
      <c r="P7" s="4">
        <f t="shared" si="46"/>
        <v>3.125e-002</v>
      </c>
      <c r="Q7" s="5">
        <f t="shared" si="47"/>
        <v>9.375e-002</v>
      </c>
      <c r="R7" s="4"/>
      <c r="S7" s="4"/>
      <c r="T7" s="4"/>
      <c r="U7" s="4"/>
      <c r="V7" s="4"/>
      <c r="W7" s="4"/>
      <c r="X7" s="4"/>
    </row>
    <row r="8" ht="14.25">
      <c r="A8" t="s">
        <v>15</v>
      </c>
      <c r="B8" t="s">
        <v>9</v>
      </c>
      <c r="C8">
        <v>174</v>
      </c>
      <c r="D8" s="4">
        <v>60</v>
      </c>
      <c r="E8" s="4">
        <f t="shared" si="48"/>
        <v>175</v>
      </c>
      <c r="F8" s="4">
        <v>65</v>
      </c>
      <c r="G8" s="4">
        <v>2</v>
      </c>
      <c r="H8" s="11">
        <v>85</v>
      </c>
      <c r="I8" s="12">
        <f t="shared" si="39"/>
        <v>0</v>
      </c>
      <c r="J8" s="1">
        <f t="shared" si="40"/>
        <v>0</v>
      </c>
      <c r="K8" s="4">
        <f t="shared" si="41"/>
        <v>0</v>
      </c>
      <c r="L8" s="4">
        <f t="shared" si="42"/>
        <v>0</v>
      </c>
      <c r="M8" s="4">
        <f t="shared" si="43"/>
        <v>0</v>
      </c>
      <c r="N8" s="4">
        <f t="shared" si="44"/>
        <v>0</v>
      </c>
      <c r="O8" s="4">
        <f t="shared" si="45"/>
        <v>0</v>
      </c>
      <c r="P8" s="4">
        <f t="shared" si="46"/>
        <v>0</v>
      </c>
      <c r="Q8" s="5">
        <f t="shared" si="47"/>
        <v>0</v>
      </c>
      <c r="R8" s="4"/>
      <c r="S8" s="4"/>
      <c r="T8" s="4"/>
      <c r="U8" s="4"/>
      <c r="V8" s="4"/>
      <c r="W8" s="4"/>
      <c r="X8" s="4"/>
    </row>
    <row r="9" ht="14.25">
      <c r="A9" t="s">
        <v>16</v>
      </c>
      <c r="B9" t="s">
        <v>17</v>
      </c>
      <c r="C9" s="4">
        <v>162</v>
      </c>
      <c r="D9" s="4">
        <v>59</v>
      </c>
      <c r="E9" s="4">
        <f t="shared" si="48"/>
        <v>165</v>
      </c>
      <c r="F9" s="4">
        <v>55</v>
      </c>
      <c r="G9" s="4">
        <v>3</v>
      </c>
      <c r="H9" s="11">
        <v>95</v>
      </c>
      <c r="I9" s="12">
        <f t="shared" si="39"/>
        <v>0</v>
      </c>
      <c r="J9" s="1">
        <f t="shared" si="40"/>
        <v>0</v>
      </c>
      <c r="K9" s="4">
        <f t="shared" si="41"/>
        <v>0</v>
      </c>
      <c r="L9" s="4">
        <f t="shared" si="42"/>
        <v>0</v>
      </c>
      <c r="M9" s="4">
        <f t="shared" si="43"/>
        <v>0</v>
      </c>
      <c r="N9" s="4">
        <f t="shared" si="44"/>
        <v>0</v>
      </c>
      <c r="O9" s="4">
        <f t="shared" si="45"/>
        <v>0</v>
      </c>
      <c r="P9" s="4">
        <f t="shared" si="46"/>
        <v>0</v>
      </c>
      <c r="Q9" s="5">
        <f t="shared" si="47"/>
        <v>0</v>
      </c>
      <c r="R9" s="4"/>
      <c r="S9" s="4"/>
      <c r="T9" s="4"/>
      <c r="U9" s="4"/>
      <c r="V9" s="4"/>
      <c r="W9" s="4"/>
      <c r="X9" s="4"/>
    </row>
    <row r="10" ht="14.25">
      <c r="A10" t="s">
        <v>18</v>
      </c>
      <c r="B10" t="s">
        <v>7</v>
      </c>
      <c r="C10" s="4">
        <v>172</v>
      </c>
      <c r="D10" s="4">
        <v>68</v>
      </c>
      <c r="E10" s="4">
        <f t="shared" ref="E10:E33" si="49">FLOOR(C10,10)+5</f>
        <v>175</v>
      </c>
      <c r="F10" s="4">
        <v>65</v>
      </c>
      <c r="G10" s="4">
        <v>4</v>
      </c>
      <c r="H10" s="11">
        <v>105</v>
      </c>
      <c r="I10" s="12">
        <f t="shared" ref="I10:I11" si="50">COUNTIFS($F$2:$F$33,$H10)</f>
        <v>0</v>
      </c>
      <c r="J10" s="1">
        <f t="shared" ref="J10:J11" si="51">I10/I$12</f>
        <v>0</v>
      </c>
      <c r="K10" s="4">
        <f t="shared" ref="K10:K11" si="52">COUNTIFS($F$2:$F$33,$H10,$E$2:$E$33,K$1)/$Q$12</f>
        <v>0</v>
      </c>
      <c r="L10" s="4">
        <f t="shared" ref="L10:L11" si="53">COUNTIFS($F$2:$F$33,$H10,$E$2:$E$33,L$1)/$Q$12</f>
        <v>0</v>
      </c>
      <c r="M10" s="4">
        <f t="shared" ref="M10:M11" si="54">COUNTIFS($F$2:$F$33,$H10,$E$2:$E$33,M$1)/$Q$12</f>
        <v>0</v>
      </c>
      <c r="N10" s="4">
        <f t="shared" ref="N10:N11" si="55">COUNTIFS($F$2:$F$33,$H10,$E$2:$E$33,N$1)/$Q$12</f>
        <v>0</v>
      </c>
      <c r="O10" s="4">
        <f t="shared" ref="O10:O11" si="56">COUNTIFS($F$2:$F$33,$H10,$E$2:$E$33,O$1)/$Q$12</f>
        <v>0</v>
      </c>
      <c r="P10" s="4">
        <f t="shared" ref="P10:P11" si="57">COUNTIFS($F$2:$F$33,$H10,$E$2:$E$33,P$1)/$Q$12</f>
        <v>0</v>
      </c>
      <c r="Q10" s="5">
        <f t="shared" ref="Q10:Q11" si="58">SUM(K10:P10)</f>
        <v>0</v>
      </c>
      <c r="R10" s="4"/>
      <c r="S10" s="4"/>
      <c r="T10" s="4"/>
      <c r="U10" s="4"/>
      <c r="V10" s="4"/>
      <c r="W10" s="4"/>
      <c r="X10" s="4"/>
    </row>
    <row r="11" ht="14.25">
      <c r="A11" t="s">
        <v>19</v>
      </c>
      <c r="B11" t="s">
        <v>7</v>
      </c>
      <c r="C11" s="4">
        <v>185</v>
      </c>
      <c r="D11" s="4">
        <v>110</v>
      </c>
      <c r="E11" s="4">
        <f t="shared" si="49"/>
        <v>185</v>
      </c>
      <c r="F11" s="4">
        <v>115</v>
      </c>
      <c r="G11" s="4">
        <v>4</v>
      </c>
      <c r="H11" s="11">
        <v>115</v>
      </c>
      <c r="I11" s="11">
        <f t="shared" si="50"/>
        <v>1</v>
      </c>
      <c r="J11" s="1">
        <f t="shared" si="51"/>
        <v>3.125e-002</v>
      </c>
      <c r="K11" s="4">
        <f t="shared" si="52"/>
        <v>0</v>
      </c>
      <c r="L11" s="4">
        <f t="shared" si="53"/>
        <v>0</v>
      </c>
      <c r="M11" s="4">
        <f t="shared" si="54"/>
        <v>0</v>
      </c>
      <c r="N11" s="4">
        <f t="shared" si="55"/>
        <v>0</v>
      </c>
      <c r="O11" s="4">
        <f t="shared" si="56"/>
        <v>3.125e-002</v>
      </c>
      <c r="P11" s="4">
        <f t="shared" si="57"/>
        <v>0</v>
      </c>
      <c r="Q11" s="5">
        <f t="shared" si="58"/>
        <v>3.125e-002</v>
      </c>
      <c r="R11" s="4"/>
      <c r="S11" s="4"/>
      <c r="T11" s="4"/>
      <c r="U11" s="4"/>
      <c r="V11" s="4"/>
      <c r="W11" s="4"/>
      <c r="X11" s="4"/>
    </row>
    <row r="12" ht="14.25">
      <c r="A12" t="s">
        <v>20</v>
      </c>
      <c r="B12" t="s">
        <v>7</v>
      </c>
      <c r="C12" s="4">
        <v>179</v>
      </c>
      <c r="D12" s="4">
        <v>65</v>
      </c>
      <c r="E12" s="4">
        <f t="shared" si="49"/>
        <v>175</v>
      </c>
      <c r="F12" s="4">
        <v>65</v>
      </c>
      <c r="G12" s="4">
        <v>4</v>
      </c>
      <c r="H12" s="11"/>
      <c r="I12" s="11">
        <f>SUM(I4:I11)</f>
        <v>32</v>
      </c>
      <c r="J12" s="4"/>
      <c r="K12" s="5">
        <f>SUM(K4:K11)</f>
        <v>3.125e-002</v>
      </c>
      <c r="L12" s="5">
        <f>SUM(L4:L11)</f>
        <v>9.375e-002</v>
      </c>
      <c r="M12" s="5">
        <f>SUM(M4:M11)</f>
        <v>0.46875</v>
      </c>
      <c r="N12" s="5">
        <f>SUM(N4:N11)</f>
        <v>0.28125</v>
      </c>
      <c r="O12" s="5">
        <f>SUM(O4:O11)</f>
        <v>9.375e-002</v>
      </c>
      <c r="P12" s="5">
        <f>SUM(P4:P11)</f>
        <v>3.125e-002</v>
      </c>
      <c r="Q12" s="4">
        <f>IF(I12=Q2,I12,0)</f>
        <v>32</v>
      </c>
      <c r="R12" s="4"/>
      <c r="S12" s="4"/>
      <c r="T12" s="4"/>
      <c r="U12" s="4"/>
      <c r="V12" s="4"/>
      <c r="W12" s="4"/>
      <c r="X12" s="4"/>
    </row>
    <row r="13" ht="14.25">
      <c r="A13" t="s">
        <v>21</v>
      </c>
      <c r="B13" t="s">
        <v>22</v>
      </c>
      <c r="C13" s="4">
        <v>175</v>
      </c>
      <c r="D13" s="4">
        <v>65</v>
      </c>
      <c r="E13" s="4">
        <f t="shared" si="49"/>
        <v>175</v>
      </c>
      <c r="F13" s="4">
        <v>65</v>
      </c>
      <c r="G13" s="4">
        <v>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4.25">
      <c r="A14" t="s">
        <v>23</v>
      </c>
      <c r="B14" t="s">
        <v>9</v>
      </c>
      <c r="C14" s="4">
        <v>149</v>
      </c>
      <c r="D14" s="4">
        <v>48</v>
      </c>
      <c r="E14" s="4">
        <f t="shared" si="49"/>
        <v>145</v>
      </c>
      <c r="F14" s="4">
        <v>45</v>
      </c>
      <c r="G14" s="4">
        <v>2</v>
      </c>
      <c r="H14" s="4">
        <f t="shared" ref="H14:H22" si="59">H1</f>
        <v>0</v>
      </c>
      <c r="I14" s="4">
        <f t="shared" ref="I14:I22" si="60">I1</f>
        <v>0</v>
      </c>
      <c r="J14" s="4" t="str">
        <f t="shared" ref="J14:J22" si="61">J1</f>
        <v>X:</v>
      </c>
      <c r="K14" s="4">
        <f t="shared" ref="K14:K16" si="62">K1</f>
        <v>145</v>
      </c>
      <c r="L14" s="4">
        <f t="shared" ref="L14:L16" si="63">L1</f>
        <v>155</v>
      </c>
      <c r="M14" s="4">
        <f t="shared" ref="M14:M16" si="64">M1</f>
        <v>165</v>
      </c>
      <c r="N14" s="4">
        <f t="shared" ref="N14:N16" si="65">N1</f>
        <v>175</v>
      </c>
      <c r="O14" s="4">
        <f t="shared" ref="O14:O16" si="66">O1</f>
        <v>185</v>
      </c>
      <c r="P14" s="4">
        <f t="shared" ref="P14:P16" si="67">P1</f>
        <v>195</v>
      </c>
      <c r="Q14" s="4">
        <f>Q1</f>
        <v>0</v>
      </c>
      <c r="R14" s="4"/>
      <c r="S14" s="4"/>
      <c r="T14" s="4"/>
      <c r="U14" s="4"/>
      <c r="V14" s="4"/>
      <c r="W14" s="4"/>
      <c r="X14" s="4"/>
    </row>
    <row r="15" ht="14.25">
      <c r="A15" t="s">
        <v>24</v>
      </c>
      <c r="B15" t="s">
        <v>25</v>
      </c>
      <c r="C15" s="4">
        <v>160</v>
      </c>
      <c r="D15">
        <v>49</v>
      </c>
      <c r="E15" s="4">
        <f t="shared" si="49"/>
        <v>165</v>
      </c>
      <c r="F15" s="4">
        <v>45</v>
      </c>
      <c r="G15" s="4">
        <v>3</v>
      </c>
      <c r="H15" s="4">
        <f t="shared" si="59"/>
        <v>0</v>
      </c>
      <c r="I15" s="4">
        <f t="shared" si="60"/>
        <v>0</v>
      </c>
      <c r="J15" s="4">
        <f t="shared" si="61"/>
        <v>0</v>
      </c>
      <c r="K15" s="4">
        <f t="shared" si="62"/>
        <v>1</v>
      </c>
      <c r="L15" s="4">
        <f t="shared" si="63"/>
        <v>3</v>
      </c>
      <c r="M15" s="4">
        <f t="shared" si="64"/>
        <v>15</v>
      </c>
      <c r="N15" s="4">
        <f t="shared" si="65"/>
        <v>9</v>
      </c>
      <c r="O15" s="4">
        <f t="shared" si="66"/>
        <v>3</v>
      </c>
      <c r="P15" s="4">
        <f t="shared" si="67"/>
        <v>1</v>
      </c>
      <c r="Q15" s="4"/>
      <c r="R15" s="4"/>
      <c r="S15" s="4"/>
      <c r="T15" s="4"/>
      <c r="U15" s="4"/>
      <c r="V15" s="4"/>
      <c r="W15" s="4"/>
      <c r="X15" s="4"/>
    </row>
    <row r="16" ht="14.25">
      <c r="A16" t="s">
        <v>26</v>
      </c>
      <c r="B16" t="s">
        <v>22</v>
      </c>
      <c r="C16" s="4">
        <v>160</v>
      </c>
      <c r="D16" s="4">
        <v>60</v>
      </c>
      <c r="E16" s="4">
        <f t="shared" si="49"/>
        <v>165</v>
      </c>
      <c r="F16" s="4">
        <v>65</v>
      </c>
      <c r="G16" s="4">
        <v>4</v>
      </c>
      <c r="H16" s="4" t="str">
        <f t="shared" si="59"/>
        <v>Y:</v>
      </c>
      <c r="I16" s="4">
        <f t="shared" si="60"/>
        <v>0</v>
      </c>
      <c r="J16" s="8">
        <f t="shared" si="61"/>
        <v>0</v>
      </c>
      <c r="K16" s="8">
        <f t="shared" si="62"/>
        <v>3.125e-002</v>
      </c>
      <c r="L16" s="8">
        <f t="shared" si="63"/>
        <v>9.375e-002</v>
      </c>
      <c r="M16" s="8">
        <f t="shared" si="64"/>
        <v>0.46875</v>
      </c>
      <c r="N16" s="8">
        <f t="shared" si="65"/>
        <v>0.28125</v>
      </c>
      <c r="O16" s="8">
        <f t="shared" si="66"/>
        <v>9.375e-002</v>
      </c>
      <c r="P16" s="8">
        <f t="shared" si="67"/>
        <v>3.125e-002</v>
      </c>
      <c r="Q16" s="4"/>
      <c r="R16" s="4"/>
      <c r="S16" s="4"/>
      <c r="T16" s="4"/>
      <c r="U16" s="4"/>
      <c r="V16" s="4"/>
      <c r="W16" s="4"/>
      <c r="X16" s="4"/>
    </row>
    <row r="17" ht="14.25">
      <c r="A17" t="s">
        <v>27</v>
      </c>
      <c r="B17" t="s">
        <v>22</v>
      </c>
      <c r="C17" s="4">
        <v>190</v>
      </c>
      <c r="D17" s="4">
        <v>77</v>
      </c>
      <c r="E17" s="4">
        <f t="shared" si="49"/>
        <v>195</v>
      </c>
      <c r="F17" s="4">
        <v>75</v>
      </c>
      <c r="G17" s="4">
        <v>4</v>
      </c>
      <c r="H17" s="4">
        <f t="shared" si="59"/>
        <v>45</v>
      </c>
      <c r="I17" s="4">
        <f t="shared" si="60"/>
        <v>5</v>
      </c>
      <c r="J17" s="8">
        <f t="shared" si="61"/>
        <v>0.15625</v>
      </c>
      <c r="K17" s="4">
        <f t="shared" ref="K17:K24" si="68">$J17*K$16</f>
        <v>4.8828125e-003</v>
      </c>
      <c r="L17" s="4">
        <f t="shared" ref="L17:L24" si="69">$J17*L$16</f>
        <v>1.46484375e-002</v>
      </c>
      <c r="M17" s="4">
        <f t="shared" ref="M17:M24" si="70">$J17*M$16</f>
        <v>7.32421875e-002</v>
      </c>
      <c r="N17" s="4">
        <f t="shared" ref="N17:N24" si="71">$J17*N$16</f>
        <v>4.39453125e-002</v>
      </c>
      <c r="O17" s="4">
        <f t="shared" ref="O17:O24" si="72">$J17*O$16</f>
        <v>1.46484375e-002</v>
      </c>
      <c r="P17" s="4">
        <f t="shared" ref="P17:P24" si="73">$J17*P$16</f>
        <v>4.8828125e-003</v>
      </c>
      <c r="Q17" s="5">
        <f t="shared" ref="Q17:Q46" si="74">SUM(K17:P17)</f>
        <v>0.15625</v>
      </c>
      <c r="R17" s="4"/>
      <c r="S17" s="4"/>
      <c r="T17" s="4"/>
      <c r="U17" s="4"/>
      <c r="V17" s="4"/>
      <c r="W17" s="4"/>
      <c r="X17" s="4"/>
    </row>
    <row r="18" ht="14.25">
      <c r="A18" t="s">
        <v>28</v>
      </c>
      <c r="B18" t="s">
        <v>5</v>
      </c>
      <c r="C18" s="4">
        <v>168</v>
      </c>
      <c r="D18" s="4">
        <v>65</v>
      </c>
      <c r="E18" s="4">
        <f t="shared" si="49"/>
        <v>165</v>
      </c>
      <c r="F18" s="4">
        <v>65</v>
      </c>
      <c r="G18" s="4">
        <v>1</v>
      </c>
      <c r="H18" s="4">
        <f t="shared" si="59"/>
        <v>55</v>
      </c>
      <c r="I18" s="4">
        <f t="shared" si="60"/>
        <v>8</v>
      </c>
      <c r="J18" s="8">
        <f t="shared" si="61"/>
        <v>0.25</v>
      </c>
      <c r="K18" s="4">
        <f t="shared" si="68"/>
        <v>7.8125e-003</v>
      </c>
      <c r="L18" s="4">
        <f t="shared" si="69"/>
        <v>2.34375e-002</v>
      </c>
      <c r="M18" s="4">
        <f t="shared" si="70"/>
        <v>0.1171875</v>
      </c>
      <c r="N18" s="4">
        <f t="shared" si="71"/>
        <v>7.03125e-002</v>
      </c>
      <c r="O18" s="4">
        <f t="shared" si="72"/>
        <v>2.34375e-002</v>
      </c>
      <c r="P18" s="4">
        <f t="shared" si="73"/>
        <v>7.8125e-003</v>
      </c>
      <c r="Q18" s="9">
        <f t="shared" si="74"/>
        <v>0.25</v>
      </c>
      <c r="R18" s="4"/>
      <c r="S18" s="4"/>
      <c r="T18" s="4"/>
      <c r="U18" s="4"/>
      <c r="V18" s="4"/>
      <c r="W18" s="4"/>
      <c r="X18" s="4"/>
    </row>
    <row r="19" ht="14.25">
      <c r="A19" t="s">
        <v>29</v>
      </c>
      <c r="B19" t="s">
        <v>22</v>
      </c>
      <c r="C19" s="4">
        <v>160</v>
      </c>
      <c r="D19" s="4">
        <v>60</v>
      </c>
      <c r="E19" s="4">
        <f t="shared" si="49"/>
        <v>165</v>
      </c>
      <c r="F19" s="4">
        <v>65</v>
      </c>
      <c r="G19" s="4">
        <v>4</v>
      </c>
      <c r="H19" s="4">
        <f t="shared" si="59"/>
        <v>65</v>
      </c>
      <c r="I19" s="4">
        <f t="shared" si="60"/>
        <v>15</v>
      </c>
      <c r="J19" s="8">
        <f t="shared" si="61"/>
        <v>0.46875</v>
      </c>
      <c r="K19" s="4">
        <f t="shared" si="68"/>
        <v>1.46484375e-002</v>
      </c>
      <c r="L19" s="4">
        <f t="shared" si="69"/>
        <v>4.39453125e-002</v>
      </c>
      <c r="M19" s="4">
        <f t="shared" si="70"/>
        <v>0.2197265625</v>
      </c>
      <c r="N19" s="4">
        <f t="shared" si="71"/>
        <v>0.1318359375</v>
      </c>
      <c r="O19" s="4">
        <f t="shared" si="72"/>
        <v>4.39453125e-002</v>
      </c>
      <c r="P19" s="4">
        <f t="shared" si="73"/>
        <v>1.46484375e-002</v>
      </c>
      <c r="Q19" s="9">
        <f t="shared" si="74"/>
        <v>0.46875</v>
      </c>
      <c r="R19" s="4"/>
      <c r="S19" s="4"/>
      <c r="T19" s="4"/>
      <c r="U19" s="4"/>
      <c r="V19" s="4"/>
      <c r="W19" s="4"/>
      <c r="X19" s="4"/>
    </row>
    <row r="20" ht="14.25">
      <c r="A20" t="s">
        <v>30</v>
      </c>
      <c r="B20" t="s">
        <v>31</v>
      </c>
      <c r="C20" s="4">
        <v>166</v>
      </c>
      <c r="D20" s="4">
        <v>68</v>
      </c>
      <c r="E20" s="4">
        <f t="shared" si="49"/>
        <v>165</v>
      </c>
      <c r="F20" s="4">
        <v>65</v>
      </c>
      <c r="G20" s="4">
        <v>1</v>
      </c>
      <c r="H20" s="4">
        <f t="shared" si="59"/>
        <v>75</v>
      </c>
      <c r="I20" s="4">
        <f t="shared" si="60"/>
        <v>3</v>
      </c>
      <c r="J20" s="8">
        <f t="shared" si="61"/>
        <v>9.375e-002</v>
      </c>
      <c r="K20" s="4">
        <f t="shared" si="68"/>
        <v>2.9296875e-003</v>
      </c>
      <c r="L20" s="4">
        <f t="shared" si="69"/>
        <v>8.7890625e-003</v>
      </c>
      <c r="M20" s="4">
        <f t="shared" si="70"/>
        <v>4.39453125e-002</v>
      </c>
      <c r="N20" s="4">
        <f t="shared" si="71"/>
        <v>2.63671875e-002</v>
      </c>
      <c r="O20" s="4">
        <f t="shared" si="72"/>
        <v>8.7890625e-003</v>
      </c>
      <c r="P20" s="4">
        <f t="shared" si="73"/>
        <v>2.9296875e-003</v>
      </c>
      <c r="Q20" s="9">
        <f t="shared" si="74"/>
        <v>9.375e-002</v>
      </c>
      <c r="R20" s="4"/>
      <c r="S20" s="4"/>
      <c r="T20" s="4"/>
      <c r="U20" s="4"/>
      <c r="V20" s="4"/>
      <c r="W20" s="4"/>
      <c r="X20" s="4"/>
    </row>
    <row r="21" ht="14.25">
      <c r="A21" t="s">
        <v>32</v>
      </c>
      <c r="B21" t="s">
        <v>33</v>
      </c>
      <c r="C21" s="4">
        <v>160</v>
      </c>
      <c r="D21" s="4">
        <v>65</v>
      </c>
      <c r="E21" s="4">
        <f t="shared" si="49"/>
        <v>165</v>
      </c>
      <c r="F21" s="4">
        <v>65</v>
      </c>
      <c r="G21" s="4">
        <v>2</v>
      </c>
      <c r="H21" s="4">
        <f t="shared" si="59"/>
        <v>85</v>
      </c>
      <c r="I21" s="4">
        <f t="shared" si="60"/>
        <v>0</v>
      </c>
      <c r="J21" s="8">
        <f t="shared" si="61"/>
        <v>0</v>
      </c>
      <c r="K21" s="4">
        <f t="shared" si="68"/>
        <v>0</v>
      </c>
      <c r="L21" s="4">
        <f t="shared" si="69"/>
        <v>0</v>
      </c>
      <c r="M21" s="4">
        <f t="shared" si="70"/>
        <v>0</v>
      </c>
      <c r="N21" s="4">
        <f t="shared" si="71"/>
        <v>0</v>
      </c>
      <c r="O21" s="4">
        <f t="shared" si="72"/>
        <v>0</v>
      </c>
      <c r="P21" s="4">
        <f t="shared" si="73"/>
        <v>0</v>
      </c>
      <c r="Q21" s="9">
        <f t="shared" si="74"/>
        <v>0</v>
      </c>
      <c r="R21" s="4"/>
      <c r="S21" s="4"/>
      <c r="T21" s="4"/>
      <c r="U21" s="4"/>
      <c r="V21" s="4"/>
      <c r="W21" s="4"/>
      <c r="X21" s="4"/>
    </row>
    <row r="22" ht="14.25">
      <c r="A22" t="s">
        <v>34</v>
      </c>
      <c r="B22" t="s">
        <v>22</v>
      </c>
      <c r="C22" s="4">
        <v>165</v>
      </c>
      <c r="D22" s="4">
        <v>53</v>
      </c>
      <c r="E22" s="4">
        <f t="shared" si="49"/>
        <v>165</v>
      </c>
      <c r="F22" s="4">
        <v>55</v>
      </c>
      <c r="G22" s="4">
        <v>4</v>
      </c>
      <c r="H22" s="4">
        <f t="shared" si="59"/>
        <v>95</v>
      </c>
      <c r="I22" s="4">
        <f t="shared" si="60"/>
        <v>0</v>
      </c>
      <c r="J22" s="8">
        <f t="shared" si="61"/>
        <v>0</v>
      </c>
      <c r="K22" s="4">
        <f t="shared" si="68"/>
        <v>0</v>
      </c>
      <c r="L22" s="4">
        <f t="shared" si="69"/>
        <v>0</v>
      </c>
      <c r="M22" s="4">
        <f t="shared" si="70"/>
        <v>0</v>
      </c>
      <c r="N22" s="4">
        <f t="shared" si="71"/>
        <v>0</v>
      </c>
      <c r="O22" s="4">
        <f t="shared" si="72"/>
        <v>0</v>
      </c>
      <c r="P22" s="4">
        <f t="shared" si="73"/>
        <v>0</v>
      </c>
      <c r="Q22" s="9">
        <f t="shared" si="74"/>
        <v>0</v>
      </c>
      <c r="R22" s="4"/>
      <c r="S22" s="4"/>
      <c r="T22" s="4"/>
      <c r="U22" s="4"/>
      <c r="V22" s="4"/>
      <c r="W22" s="4"/>
      <c r="X22" s="4"/>
    </row>
    <row r="23" ht="14.25">
      <c r="A23" t="s">
        <v>35</v>
      </c>
      <c r="B23" t="s">
        <v>22</v>
      </c>
      <c r="C23" s="4">
        <v>171</v>
      </c>
      <c r="D23" s="4">
        <v>56</v>
      </c>
      <c r="E23" s="4">
        <f t="shared" si="49"/>
        <v>175</v>
      </c>
      <c r="F23" s="4">
        <v>55</v>
      </c>
      <c r="G23" s="4">
        <v>4</v>
      </c>
      <c r="H23" s="4">
        <f t="shared" ref="H23:H27" si="75">H10</f>
        <v>105</v>
      </c>
      <c r="I23" s="4">
        <f t="shared" ref="I23:I24" si="76">I10</f>
        <v>0</v>
      </c>
      <c r="J23" s="8">
        <f t="shared" ref="J23:J24" si="77">J10</f>
        <v>0</v>
      </c>
      <c r="K23" s="4">
        <f t="shared" si="68"/>
        <v>0</v>
      </c>
      <c r="L23" s="4">
        <f t="shared" si="69"/>
        <v>0</v>
      </c>
      <c r="M23" s="4">
        <f t="shared" si="70"/>
        <v>0</v>
      </c>
      <c r="N23" s="4">
        <f t="shared" si="71"/>
        <v>0</v>
      </c>
      <c r="O23" s="4">
        <f t="shared" si="72"/>
        <v>0</v>
      </c>
      <c r="P23" s="4">
        <f t="shared" si="73"/>
        <v>0</v>
      </c>
      <c r="Q23" s="9">
        <f t="shared" si="74"/>
        <v>0</v>
      </c>
      <c r="R23" s="4"/>
      <c r="S23" s="4"/>
      <c r="T23" s="4"/>
      <c r="U23" s="4"/>
      <c r="V23" s="4"/>
      <c r="W23" s="4"/>
      <c r="X23" s="4"/>
    </row>
    <row r="24" ht="14.25">
      <c r="A24" t="s">
        <v>36</v>
      </c>
      <c r="B24" t="s">
        <v>31</v>
      </c>
      <c r="C24" s="4">
        <v>150</v>
      </c>
      <c r="D24" s="4">
        <v>43</v>
      </c>
      <c r="E24" s="4">
        <f t="shared" si="49"/>
        <v>155</v>
      </c>
      <c r="F24" s="4">
        <v>45</v>
      </c>
      <c r="G24" s="4">
        <v>1</v>
      </c>
      <c r="H24" s="4">
        <f t="shared" si="75"/>
        <v>115</v>
      </c>
      <c r="I24" s="4">
        <f t="shared" si="76"/>
        <v>1</v>
      </c>
      <c r="J24" s="8">
        <f t="shared" si="77"/>
        <v>3.125e-002</v>
      </c>
      <c r="K24" s="4">
        <f t="shared" si="68"/>
        <v>9.765625e-004</v>
      </c>
      <c r="L24" s="4">
        <f t="shared" si="69"/>
        <v>2.9296875e-003</v>
      </c>
      <c r="M24" s="4">
        <f t="shared" si="70"/>
        <v>1.46484375e-002</v>
      </c>
      <c r="N24" s="4">
        <f t="shared" si="71"/>
        <v>8.7890625e-003</v>
      </c>
      <c r="O24" s="4">
        <f t="shared" si="72"/>
        <v>2.9296875e-003</v>
      </c>
      <c r="P24" s="4">
        <f t="shared" si="73"/>
        <v>9.765625e-004</v>
      </c>
      <c r="Q24" s="9">
        <f t="shared" si="74"/>
        <v>3.125e-002</v>
      </c>
      <c r="R24" s="4"/>
      <c r="S24" s="4"/>
      <c r="T24" s="4"/>
      <c r="U24" s="4"/>
      <c r="V24" s="4"/>
      <c r="W24" s="4"/>
      <c r="X24" s="4"/>
    </row>
    <row r="25" ht="14.25">
      <c r="A25" t="s">
        <v>37</v>
      </c>
      <c r="B25" t="s">
        <v>25</v>
      </c>
      <c r="C25" s="4">
        <v>174</v>
      </c>
      <c r="D25" s="4">
        <v>65</v>
      </c>
      <c r="E25" s="4">
        <f t="shared" si="49"/>
        <v>175</v>
      </c>
      <c r="F25" s="4">
        <v>65</v>
      </c>
      <c r="G25" s="4">
        <v>3</v>
      </c>
      <c r="H25" s="4">
        <f t="shared" si="75"/>
        <v>0</v>
      </c>
      <c r="I25" s="4"/>
      <c r="J25" s="4">
        <f>SUM(K25:P25)</f>
        <v>1</v>
      </c>
      <c r="K25" s="5">
        <f>SUM(K17:K24)</f>
        <v>3.125e-002</v>
      </c>
      <c r="L25" s="9">
        <f>SUM(L17:L24)</f>
        <v>9.375e-002</v>
      </c>
      <c r="M25" s="9">
        <f>SUM(M17:M24)</f>
        <v>0.46875</v>
      </c>
      <c r="N25" s="9">
        <f>SUM(N17:N24)</f>
        <v>0.28125</v>
      </c>
      <c r="O25" s="9">
        <f>SUM(O17:O24)</f>
        <v>9.375e-002</v>
      </c>
      <c r="P25" s="9">
        <f>SUM(P17:P24)</f>
        <v>3.125e-002</v>
      </c>
      <c r="R25" s="4"/>
      <c r="S25" s="4"/>
      <c r="T25" s="4"/>
      <c r="U25" s="4"/>
      <c r="V25" s="4"/>
      <c r="W25" s="4"/>
      <c r="X25" s="4"/>
    </row>
    <row r="26" ht="14.25">
      <c r="A26" t="s">
        <v>38</v>
      </c>
      <c r="B26" t="s">
        <v>14</v>
      </c>
      <c r="C26" s="4">
        <v>163</v>
      </c>
      <c r="D26" s="4">
        <v>48</v>
      </c>
      <c r="E26" s="4">
        <f t="shared" si="49"/>
        <v>165</v>
      </c>
      <c r="F26" s="4">
        <v>45</v>
      </c>
      <c r="G26" s="4">
        <v>3</v>
      </c>
      <c r="H26" s="4">
        <f t="shared" si="75"/>
        <v>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4.25">
      <c r="A27" t="s">
        <v>34</v>
      </c>
      <c r="B27" t="s">
        <v>39</v>
      </c>
      <c r="C27" s="4">
        <v>180</v>
      </c>
      <c r="D27" s="4">
        <v>70</v>
      </c>
      <c r="E27" s="4">
        <f t="shared" si="49"/>
        <v>185</v>
      </c>
      <c r="F27" s="4">
        <v>75</v>
      </c>
      <c r="G27" s="4">
        <v>2</v>
      </c>
      <c r="H27" s="4">
        <f t="shared" si="75"/>
        <v>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4.25">
      <c r="A28" t="s">
        <v>40</v>
      </c>
      <c r="B28" t="s">
        <v>9</v>
      </c>
      <c r="C28" s="4">
        <v>163</v>
      </c>
      <c r="D28" s="4">
        <v>65</v>
      </c>
      <c r="E28" s="4">
        <f t="shared" si="49"/>
        <v>165</v>
      </c>
      <c r="F28" s="4">
        <v>65</v>
      </c>
      <c r="G28" s="4">
        <v>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4.25">
      <c r="A29" t="s">
        <v>41</v>
      </c>
      <c r="B29" t="s">
        <v>33</v>
      </c>
      <c r="C29" s="4">
        <v>184</v>
      </c>
      <c r="D29" s="4">
        <v>65</v>
      </c>
      <c r="E29" s="4">
        <f t="shared" si="49"/>
        <v>185</v>
      </c>
      <c r="F29" s="4">
        <v>65</v>
      </c>
      <c r="G29" s="4">
        <v>2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4.25">
      <c r="A30" t="s">
        <v>42</v>
      </c>
      <c r="B30" t="s">
        <v>43</v>
      </c>
      <c r="C30" s="4">
        <v>175</v>
      </c>
      <c r="D30" s="4">
        <v>59</v>
      </c>
      <c r="E30" s="4">
        <f t="shared" si="49"/>
        <v>175</v>
      </c>
      <c r="F30" s="4">
        <v>55</v>
      </c>
      <c r="G30" s="4">
        <v>1</v>
      </c>
      <c r="H30" s="4"/>
      <c r="I30" s="4">
        <f>I1</f>
        <v>0</v>
      </c>
      <c r="J30" s="4" t="str">
        <f>J1</f>
        <v>X:</v>
      </c>
      <c r="K30" s="4">
        <f t="shared" ref="K30:K32" si="78">K1</f>
        <v>145</v>
      </c>
      <c r="L30" s="4">
        <f t="shared" ref="L30:L32" si="79">L1</f>
        <v>155</v>
      </c>
      <c r="M30" s="4">
        <f t="shared" ref="M30:M32" si="80">M1</f>
        <v>165</v>
      </c>
      <c r="N30" s="4">
        <f t="shared" ref="N30:N32" si="81">N1</f>
        <v>175</v>
      </c>
      <c r="O30" s="4">
        <f t="shared" ref="O30:O32" si="82">O1</f>
        <v>185</v>
      </c>
      <c r="P30" s="4">
        <f t="shared" ref="P30:P32" si="83">P1</f>
        <v>195</v>
      </c>
      <c r="R30" s="4"/>
      <c r="S30" s="4"/>
      <c r="T30" s="4"/>
      <c r="U30" s="4"/>
      <c r="V30" s="4"/>
      <c r="W30" s="4"/>
      <c r="X30" s="4"/>
    </row>
    <row r="31" ht="14.25">
      <c r="A31" t="s">
        <v>44</v>
      </c>
      <c r="B31" t="s">
        <v>22</v>
      </c>
      <c r="C31" s="4">
        <v>162</v>
      </c>
      <c r="D31" s="4">
        <v>67</v>
      </c>
      <c r="E31" s="4">
        <f t="shared" si="49"/>
        <v>165</v>
      </c>
      <c r="F31" s="4">
        <v>65</v>
      </c>
      <c r="G31" s="4">
        <v>4</v>
      </c>
      <c r="H31" s="4"/>
      <c r="I31" s="4"/>
      <c r="J31" s="4"/>
      <c r="K31" s="4">
        <f t="shared" si="78"/>
        <v>1</v>
      </c>
      <c r="L31" s="4">
        <f t="shared" si="79"/>
        <v>3</v>
      </c>
      <c r="M31" s="4">
        <f t="shared" si="80"/>
        <v>15</v>
      </c>
      <c r="N31" s="4">
        <f t="shared" si="81"/>
        <v>9</v>
      </c>
      <c r="O31" s="4">
        <f t="shared" si="82"/>
        <v>3</v>
      </c>
      <c r="P31" s="4">
        <f t="shared" si="83"/>
        <v>1</v>
      </c>
      <c r="R31" s="4"/>
      <c r="S31" s="4"/>
      <c r="T31" s="4"/>
      <c r="U31" s="4"/>
      <c r="V31" s="4"/>
      <c r="W31" s="4"/>
      <c r="X31" s="4"/>
    </row>
    <row r="32" ht="14.25">
      <c r="A32" t="s">
        <v>45</v>
      </c>
      <c r="B32" t="s">
        <v>39</v>
      </c>
      <c r="C32" s="4">
        <v>150</v>
      </c>
      <c r="D32" s="4">
        <v>50</v>
      </c>
      <c r="E32" s="4">
        <f t="shared" si="49"/>
        <v>155</v>
      </c>
      <c r="F32" s="4">
        <v>55</v>
      </c>
      <c r="G32" s="4">
        <v>2</v>
      </c>
      <c r="H32" s="4" t="str">
        <f t="shared" ref="H32:H38" si="84">H3</f>
        <v>Y:</v>
      </c>
      <c r="I32" s="4"/>
      <c r="J32" s="4"/>
      <c r="K32" s="4">
        <f t="shared" si="78"/>
        <v>3.125e-002</v>
      </c>
      <c r="L32" s="4">
        <f t="shared" si="79"/>
        <v>9.375e-002</v>
      </c>
      <c r="M32" s="4">
        <f t="shared" si="80"/>
        <v>0.46875</v>
      </c>
      <c r="N32" s="4">
        <f t="shared" si="81"/>
        <v>0.28125</v>
      </c>
      <c r="O32" s="4">
        <f t="shared" si="82"/>
        <v>9.375e-002</v>
      </c>
      <c r="P32" s="4">
        <f t="shared" si="83"/>
        <v>3.125e-002</v>
      </c>
      <c r="R32" s="4"/>
      <c r="S32" s="4"/>
      <c r="T32" s="4"/>
      <c r="U32" s="4"/>
      <c r="V32" s="4"/>
      <c r="W32" s="4"/>
      <c r="X32" s="4"/>
    </row>
    <row r="33" ht="14.25">
      <c r="A33" t="s">
        <v>46</v>
      </c>
      <c r="B33" t="s">
        <v>7</v>
      </c>
      <c r="C33" s="4">
        <v>176</v>
      </c>
      <c r="D33" s="4">
        <v>55</v>
      </c>
      <c r="E33" s="4">
        <f t="shared" si="49"/>
        <v>175</v>
      </c>
      <c r="F33" s="4">
        <v>55</v>
      </c>
      <c r="G33" s="4">
        <v>4</v>
      </c>
      <c r="H33" s="4">
        <f t="shared" si="84"/>
        <v>45</v>
      </c>
      <c r="I33" s="4">
        <f t="shared" ref="I33:I38" si="85">I4</f>
        <v>5</v>
      </c>
      <c r="J33" s="4">
        <f t="shared" ref="J33:J38" si="86">J4</f>
        <v>0.15625</v>
      </c>
      <c r="K33" s="13">
        <f t="shared" ref="K33:K38" si="87">$H33*K4*K$30</f>
        <v>203.90625</v>
      </c>
      <c r="L33" s="13">
        <f t="shared" ref="L33:L38" si="88">$H33*L4*L$30</f>
        <v>217.96875</v>
      </c>
      <c r="M33" s="13">
        <f t="shared" ref="M33:M38" si="89">$H33*M4*M$30</f>
        <v>696.09375</v>
      </c>
      <c r="N33" s="13">
        <f t="shared" ref="N33:N38" si="90">$H33*N4*N$30</f>
        <v>0</v>
      </c>
      <c r="O33" s="13">
        <f t="shared" ref="O33:O38" si="91">$H33*O4*O$30</f>
        <v>0</v>
      </c>
      <c r="P33" s="13">
        <f t="shared" ref="P33:P38" si="92">$H33*P4*P$30</f>
        <v>0</v>
      </c>
      <c r="R33" s="4"/>
      <c r="S33" s="4"/>
      <c r="T33" s="4"/>
      <c r="U33" s="4"/>
      <c r="V33" s="4"/>
      <c r="W33" s="4"/>
      <c r="X33" s="4"/>
    </row>
    <row r="34" ht="14.25">
      <c r="A34" s="4"/>
      <c r="B34" s="4"/>
      <c r="C34" s="4"/>
      <c r="D34" s="4"/>
      <c r="E34" s="4"/>
      <c r="F34" s="4"/>
      <c r="G34" s="4"/>
      <c r="H34" s="4">
        <f t="shared" si="84"/>
        <v>55</v>
      </c>
      <c r="I34" s="4">
        <f t="shared" si="85"/>
        <v>8</v>
      </c>
      <c r="J34" s="4">
        <f t="shared" si="86"/>
        <v>0.25</v>
      </c>
      <c r="K34" s="13">
        <f t="shared" si="87"/>
        <v>0</v>
      </c>
      <c r="L34" s="13">
        <f t="shared" si="88"/>
        <v>532.8125</v>
      </c>
      <c r="M34" s="13">
        <f t="shared" si="89"/>
        <v>850.78125</v>
      </c>
      <c r="N34" s="13">
        <f t="shared" si="90"/>
        <v>902.34375</v>
      </c>
      <c r="O34" s="13">
        <f t="shared" si="91"/>
        <v>0</v>
      </c>
      <c r="P34" s="13">
        <f t="shared" si="92"/>
        <v>0</v>
      </c>
      <c r="R34" s="4"/>
      <c r="S34" s="4"/>
      <c r="T34" s="4"/>
      <c r="U34" s="4"/>
      <c r="V34" s="4"/>
      <c r="W34" s="4"/>
      <c r="X34" s="4"/>
    </row>
    <row r="35" ht="14.25">
      <c r="A35" t="s">
        <v>48</v>
      </c>
      <c r="B35" s="4"/>
      <c r="C35" s="4">
        <f>MIN(C2:C33)</f>
        <v>149</v>
      </c>
      <c r="D35" s="4">
        <f>MIN(D2:D33)</f>
        <v>40</v>
      </c>
      <c r="E35" s="4">
        <f>MIN(E2:E33)</f>
        <v>145</v>
      </c>
      <c r="F35" s="4">
        <f>MIN(F2:F33)</f>
        <v>45</v>
      </c>
      <c r="G35" s="4"/>
      <c r="H35" s="4">
        <f t="shared" si="84"/>
        <v>65</v>
      </c>
      <c r="I35" s="4">
        <f t="shared" si="85"/>
        <v>15</v>
      </c>
      <c r="J35" s="4">
        <f t="shared" si="86"/>
        <v>0.46875</v>
      </c>
      <c r="K35" s="13">
        <f t="shared" si="87"/>
        <v>0</v>
      </c>
      <c r="L35" s="13">
        <f t="shared" si="88"/>
        <v>0</v>
      </c>
      <c r="M35" s="13">
        <f t="shared" si="89"/>
        <v>3016.40625</v>
      </c>
      <c r="N35" s="13">
        <f t="shared" si="90"/>
        <v>1777.34375</v>
      </c>
      <c r="O35" s="13">
        <f t="shared" si="91"/>
        <v>375.78125</v>
      </c>
      <c r="P35" s="13">
        <f t="shared" si="92"/>
        <v>0</v>
      </c>
      <c r="R35" s="4"/>
      <c r="S35" s="4"/>
      <c r="T35" s="4"/>
      <c r="U35" s="4"/>
      <c r="V35" s="4"/>
      <c r="W35" s="4"/>
      <c r="X35" s="4"/>
    </row>
    <row r="36" ht="14.25">
      <c r="A36" t="s">
        <v>49</v>
      </c>
      <c r="B36" s="4"/>
      <c r="C36" s="4">
        <f>MAX(C2:C33)</f>
        <v>190</v>
      </c>
      <c r="D36" s="4">
        <f>MAX(D2:D33)</f>
        <v>110</v>
      </c>
      <c r="E36" s="4">
        <f>MAX(E2:E33)</f>
        <v>195</v>
      </c>
      <c r="F36" s="4">
        <f>MAX(F2:F33)</f>
        <v>115</v>
      </c>
      <c r="G36" s="4"/>
      <c r="H36" s="4">
        <f t="shared" si="84"/>
        <v>75</v>
      </c>
      <c r="I36" s="4">
        <f t="shared" si="85"/>
        <v>3</v>
      </c>
      <c r="J36" s="4">
        <f t="shared" si="86"/>
        <v>9.375e-002</v>
      </c>
      <c r="K36" s="13">
        <f t="shared" si="87"/>
        <v>0</v>
      </c>
      <c r="L36" s="13">
        <f t="shared" si="88"/>
        <v>0</v>
      </c>
      <c r="M36" s="13">
        <f t="shared" si="89"/>
        <v>0</v>
      </c>
      <c r="N36" s="13">
        <f t="shared" si="90"/>
        <v>410.15625</v>
      </c>
      <c r="O36" s="13">
        <f t="shared" si="91"/>
        <v>433.59375</v>
      </c>
      <c r="P36" s="13">
        <f t="shared" si="92"/>
        <v>457.03125</v>
      </c>
      <c r="R36" s="4"/>
      <c r="S36" s="4"/>
      <c r="T36" s="4"/>
      <c r="U36" s="4"/>
      <c r="V36" s="4"/>
      <c r="W36" s="4"/>
      <c r="X36" s="4"/>
    </row>
    <row r="37" ht="14.25">
      <c r="A37" s="4"/>
      <c r="B37" s="4"/>
      <c r="C37" s="4"/>
      <c r="D37" s="4"/>
      <c r="E37" s="4"/>
      <c r="F37" s="4"/>
      <c r="G37" s="4"/>
      <c r="H37" s="4">
        <f t="shared" si="84"/>
        <v>85</v>
      </c>
      <c r="I37" s="4">
        <f t="shared" si="85"/>
        <v>0</v>
      </c>
      <c r="J37" s="4">
        <f t="shared" si="86"/>
        <v>0</v>
      </c>
      <c r="K37" s="13">
        <f t="shared" si="87"/>
        <v>0</v>
      </c>
      <c r="L37" s="13">
        <f t="shared" si="88"/>
        <v>0</v>
      </c>
      <c r="M37" s="13">
        <f t="shared" si="89"/>
        <v>0</v>
      </c>
      <c r="N37" s="13">
        <f t="shared" si="90"/>
        <v>0</v>
      </c>
      <c r="O37" s="13">
        <f t="shared" si="91"/>
        <v>0</v>
      </c>
      <c r="P37" s="13">
        <f t="shared" si="92"/>
        <v>0</v>
      </c>
      <c r="R37" s="4"/>
      <c r="S37" s="4"/>
      <c r="T37" s="4"/>
      <c r="U37" s="4"/>
      <c r="V37" s="4"/>
      <c r="W37" s="4"/>
      <c r="X37" s="4"/>
    </row>
    <row r="38" ht="14.25">
      <c r="A38" t="s">
        <v>50</v>
      </c>
      <c r="B38" s="4"/>
      <c r="C38" s="4">
        <f>AVERAGE(C1:C33)</f>
        <v>167.375</v>
      </c>
      <c r="D38" s="4">
        <f>AVERAGE(D1:D33)</f>
        <v>61.46875</v>
      </c>
      <c r="E38" s="4">
        <f>AVERAGE(E1:E33)</f>
        <v>169.0625</v>
      </c>
      <c r="F38" s="4">
        <f>AVERAGE(F1:F33)</f>
        <v>61.875</v>
      </c>
      <c r="G38" s="4">
        <f>AVERAGE(G2:G33)</f>
        <v>2.8125</v>
      </c>
      <c r="H38" s="4">
        <f t="shared" si="84"/>
        <v>95</v>
      </c>
      <c r="I38" s="4">
        <f t="shared" si="85"/>
        <v>0</v>
      </c>
      <c r="J38" s="4">
        <f t="shared" si="86"/>
        <v>0</v>
      </c>
      <c r="K38" s="13">
        <f t="shared" si="87"/>
        <v>0</v>
      </c>
      <c r="L38" s="13">
        <f t="shared" si="88"/>
        <v>0</v>
      </c>
      <c r="M38" s="13">
        <f t="shared" si="89"/>
        <v>0</v>
      </c>
      <c r="N38" s="13">
        <f t="shared" si="90"/>
        <v>0</v>
      </c>
      <c r="O38" s="13">
        <f t="shared" si="91"/>
        <v>0</v>
      </c>
      <c r="P38" s="13">
        <f t="shared" si="92"/>
        <v>0</v>
      </c>
      <c r="R38" s="4"/>
      <c r="S38" s="4"/>
      <c r="T38" s="4"/>
      <c r="U38" s="4"/>
      <c r="V38" s="4"/>
      <c r="W38" s="4"/>
      <c r="X38" s="4"/>
    </row>
    <row r="39" ht="14.25">
      <c r="A39" t="s">
        <v>51</v>
      </c>
      <c r="B39" s="4"/>
      <c r="C39" s="4">
        <f>_xlfn.VAR.P(C2:C33)</f>
        <v>99.796875</v>
      </c>
      <c r="D39" s="4">
        <f>_xlfn.VAR.P(D2:D33)</f>
        <v>145.9990234375</v>
      </c>
      <c r="E39" s="4">
        <f>_xlfn.VAR.P(E2:E33)</f>
        <v>99.12109375</v>
      </c>
      <c r="F39" s="4">
        <f>_xlfn.VAR.P(F2:F33)</f>
        <v>165.234375</v>
      </c>
      <c r="G39" s="4">
        <f>_xlfn.VAR.P(G2:G33)</f>
        <v>1.27734375</v>
      </c>
      <c r="H39" s="4">
        <f t="shared" ref="H39:H40" si="93">H10</f>
        <v>105</v>
      </c>
      <c r="I39" s="4">
        <f t="shared" ref="I39:I40" si="94">I10</f>
        <v>0</v>
      </c>
      <c r="J39" s="4">
        <f t="shared" ref="J39:J40" si="95">J10</f>
        <v>0</v>
      </c>
      <c r="K39" s="13">
        <f t="shared" ref="K39:K40" si="96">$H39*K10*K$30</f>
        <v>0</v>
      </c>
      <c r="L39" s="13">
        <f t="shared" ref="L39:L40" si="97">$H39*L10*L$30</f>
        <v>0</v>
      </c>
      <c r="M39" s="13">
        <f t="shared" ref="M39:M40" si="98">$H39*M10*M$30</f>
        <v>0</v>
      </c>
      <c r="N39" s="13">
        <f t="shared" ref="N39:N40" si="99">$H39*N10*N$30</f>
        <v>0</v>
      </c>
      <c r="O39" s="13">
        <f t="shared" ref="O39:O40" si="100">$H39*O10*O$30</f>
        <v>0</v>
      </c>
      <c r="P39" s="13">
        <f t="shared" ref="P39:P40" si="101">$H39*P10*P$30</f>
        <v>0</v>
      </c>
      <c r="R39" s="4"/>
      <c r="S39" s="4"/>
      <c r="T39" s="4"/>
      <c r="U39" s="4"/>
      <c r="V39" s="4"/>
      <c r="W39" s="4"/>
      <c r="X39" s="4"/>
    </row>
    <row r="40" ht="14.25">
      <c r="A40" t="s">
        <v>52</v>
      </c>
      <c r="B40" s="4"/>
      <c r="C40" s="4">
        <f>SQRT(C39)</f>
        <v>9.9898385872845807</v>
      </c>
      <c r="D40" s="4">
        <f>SQRT(D39)</f>
        <v>12.083005563083217</v>
      </c>
      <c r="E40" s="4">
        <f>SQRT(E39)</f>
        <v>9.9559577012962439</v>
      </c>
      <c r="F40" s="4">
        <f>SQRT(F39)</f>
        <v>12.854352375751958</v>
      </c>
      <c r="G40" s="4">
        <f>SQRT(G39)</f>
        <v>1.1301963325015703</v>
      </c>
      <c r="H40" s="4">
        <f t="shared" si="93"/>
        <v>115</v>
      </c>
      <c r="I40" s="4">
        <f t="shared" si="94"/>
        <v>1</v>
      </c>
      <c r="J40" s="4">
        <f t="shared" si="95"/>
        <v>3.125e-002</v>
      </c>
      <c r="K40" s="13">
        <f t="shared" si="96"/>
        <v>0</v>
      </c>
      <c r="L40" s="13">
        <f t="shared" si="97"/>
        <v>0</v>
      </c>
      <c r="M40" s="13">
        <f t="shared" si="98"/>
        <v>0</v>
      </c>
      <c r="N40" s="13">
        <f t="shared" si="99"/>
        <v>0</v>
      </c>
      <c r="O40" s="13">
        <f t="shared" si="100"/>
        <v>664.84375</v>
      </c>
      <c r="P40" s="13">
        <f t="shared" si="101"/>
        <v>0</v>
      </c>
      <c r="Q40" s="4"/>
      <c r="R40" s="4"/>
      <c r="S40" s="4"/>
      <c r="T40" s="4"/>
      <c r="U40" s="4"/>
      <c r="V40" s="4"/>
      <c r="W40" s="4"/>
      <c r="X40" s="4"/>
    </row>
    <row r="41" ht="14.25">
      <c r="J41" s="4"/>
      <c r="K41" s="4"/>
      <c r="L41" s="4"/>
      <c r="M41" s="4"/>
      <c r="N41" s="4"/>
      <c r="O41" s="4"/>
      <c r="P41" s="4"/>
      <c r="Q41" s="4"/>
    </row>
    <row r="42" ht="14.25">
      <c r="E42" t="s">
        <v>56</v>
      </c>
      <c r="F42" s="4">
        <f>SUM(K33:P40)</f>
        <v>10539.0625</v>
      </c>
      <c r="J42" t="s">
        <v>57</v>
      </c>
      <c r="K42" s="4">
        <f t="shared" ref="K42:K44" si="102">K30</f>
        <v>145</v>
      </c>
      <c r="L42" s="4">
        <f t="shared" ref="L42:L44" si="103">L30</f>
        <v>155</v>
      </c>
      <c r="M42" s="4">
        <f t="shared" ref="M42:M44" si="104">M30</f>
        <v>165</v>
      </c>
      <c r="N42" s="4">
        <f t="shared" ref="N42:N44" si="105">N30</f>
        <v>175</v>
      </c>
      <c r="O42" s="4">
        <f t="shared" ref="O42:O44" si="106">O30</f>
        <v>185</v>
      </c>
      <c r="P42" s="4">
        <f t="shared" ref="P42:P44" si="107">P30</f>
        <v>195</v>
      </c>
    </row>
    <row r="43" ht="14.25">
      <c r="E43" t="s">
        <v>58</v>
      </c>
      <c r="F43">
        <f>F42-(E38*F38)</f>
        <v>78.3203125</v>
      </c>
      <c r="J43" t="s">
        <v>59</v>
      </c>
      <c r="K43" s="4">
        <f t="shared" si="102"/>
        <v>1</v>
      </c>
      <c r="L43" s="4">
        <f t="shared" si="103"/>
        <v>3</v>
      </c>
      <c r="M43" s="4">
        <f t="shared" si="104"/>
        <v>15</v>
      </c>
      <c r="N43" s="4">
        <f t="shared" si="105"/>
        <v>9</v>
      </c>
      <c r="O43" s="4">
        <f t="shared" si="106"/>
        <v>3</v>
      </c>
      <c r="P43" s="4">
        <f t="shared" si="107"/>
        <v>1</v>
      </c>
    </row>
    <row r="44" ht="14.25">
      <c r="E44" t="s">
        <v>60</v>
      </c>
      <c r="F44">
        <f>F43/(E40*F40)</f>
        <v>0.61198554994195631</v>
      </c>
      <c r="H44" s="3"/>
      <c r="I44" s="3"/>
      <c r="J44" t="s">
        <v>61</v>
      </c>
      <c r="K44" s="4">
        <f t="shared" si="102"/>
        <v>3.125e-002</v>
      </c>
      <c r="L44" s="4">
        <f t="shared" si="103"/>
        <v>9.375e-002</v>
      </c>
      <c r="M44" s="4">
        <f t="shared" si="104"/>
        <v>0.46875</v>
      </c>
      <c r="N44" s="4">
        <f t="shared" si="105"/>
        <v>0.28125</v>
      </c>
      <c r="O44" s="4">
        <f t="shared" si="106"/>
        <v>9.375e-002</v>
      </c>
      <c r="P44" s="4">
        <f t="shared" si="107"/>
        <v>3.125e-002</v>
      </c>
    </row>
    <row r="45" ht="14.25">
      <c r="H45" s="3"/>
      <c r="I45" s="3"/>
      <c r="J45" t="s">
        <v>62</v>
      </c>
      <c r="K45">
        <f>K42*K44</f>
        <v>4.53125</v>
      </c>
      <c r="L45" s="4">
        <f>L42*L44</f>
        <v>14.53125</v>
      </c>
      <c r="M45" s="4">
        <f>M42*M44</f>
        <v>77.34375</v>
      </c>
      <c r="N45" s="4">
        <f>N42*N44</f>
        <v>49.21875</v>
      </c>
      <c r="O45" s="4">
        <f>O42*O44</f>
        <v>17.34375</v>
      </c>
      <c r="P45" s="4">
        <f>P42*P44</f>
        <v>6.09375</v>
      </c>
      <c r="Q45">
        <f t="shared" si="74"/>
        <v>169.0625</v>
      </c>
    </row>
    <row r="46" ht="14.25">
      <c r="E46" t="s">
        <v>63</v>
      </c>
      <c r="F46">
        <f>COVAR(E2:E33,F2:F33)</f>
        <v>78.3203125</v>
      </c>
      <c r="H46" s="3"/>
      <c r="I46" s="3"/>
      <c r="J46" t="s">
        <v>64</v>
      </c>
      <c r="K46">
        <f>K44*(K42-$Q$45)^2</f>
        <v>18.0938720703125</v>
      </c>
      <c r="L46" s="4">
        <f>L44*(L42-$Q$45)^2</f>
        <v>18.5394287109375</v>
      </c>
      <c r="M46" s="4">
        <f>M44*(M42-$Q$45)^2</f>
        <v>7.7362060546875</v>
      </c>
      <c r="N46" s="4">
        <f>N44*(N42-$Q$45)^2</f>
        <v>9.9151611328125</v>
      </c>
      <c r="O46" s="4">
        <f>O44*(O42-$Q$45)^2</f>
        <v>23.8128662109375</v>
      </c>
      <c r="P46" s="4">
        <f>P44*(P42-$Q$45)^2</f>
        <v>21.0235595703125</v>
      </c>
      <c r="Q46" s="4">
        <f t="shared" si="74"/>
        <v>99.12109375</v>
      </c>
    </row>
    <row r="47" ht="14.25">
      <c r="E47" t="s">
        <v>65</v>
      </c>
      <c r="F47">
        <f>_xlfn.COVARIANCE.P(E2:E33,F2:F33)</f>
        <v>78.3203125</v>
      </c>
      <c r="H47" s="3"/>
      <c r="I47" s="3"/>
    </row>
    <row r="48" ht="14.25">
      <c r="E48" t="s">
        <v>66</v>
      </c>
      <c r="F48">
        <f>_xlfn.COVARIANCE.S(E2:E33,F2:F33)</f>
        <v>80.846774193548384</v>
      </c>
      <c r="H48" s="3"/>
      <c r="I48" s="3"/>
    </row>
    <row r="49" ht="14.25">
      <c r="H49" t="s">
        <v>57</v>
      </c>
      <c r="I49" t="s">
        <v>67</v>
      </c>
      <c r="J49" t="s">
        <v>61</v>
      </c>
      <c r="K49" t="s">
        <v>68</v>
      </c>
      <c r="L49" t="s">
        <v>69</v>
      </c>
    </row>
    <row r="50" ht="14.25">
      <c r="H50">
        <f t="shared" ref="H50:H57" si="108">H33</f>
        <v>45</v>
      </c>
      <c r="I50" s="4">
        <f t="shared" ref="I50:I57" si="109">I33</f>
        <v>5</v>
      </c>
      <c r="J50" s="4">
        <f t="shared" ref="J50:J57" si="110">J33</f>
        <v>0.15625</v>
      </c>
      <c r="K50">
        <f t="shared" ref="K50:K57" si="111">J50*H50</f>
        <v>7.03125</v>
      </c>
      <c r="L50">
        <f t="shared" ref="L50:L57" si="112">(H50-$K$58)^2*J50</f>
        <v>44.49462890625</v>
      </c>
    </row>
    <row r="51" ht="14.25">
      <c r="H51" s="4">
        <f t="shared" si="108"/>
        <v>55</v>
      </c>
      <c r="I51" s="4">
        <f t="shared" si="109"/>
        <v>8</v>
      </c>
      <c r="J51" s="4">
        <f t="shared" si="110"/>
        <v>0.25</v>
      </c>
      <c r="K51" s="4">
        <f t="shared" si="111"/>
        <v>13.75</v>
      </c>
      <c r="L51" s="4">
        <f t="shared" si="112"/>
        <v>11.81640625</v>
      </c>
    </row>
    <row r="52" ht="14.25">
      <c r="H52" s="4">
        <f t="shared" si="108"/>
        <v>65</v>
      </c>
      <c r="I52" s="4">
        <f t="shared" si="109"/>
        <v>15</v>
      </c>
      <c r="J52" s="4">
        <f t="shared" si="110"/>
        <v>0.46875</v>
      </c>
      <c r="K52" s="4">
        <f t="shared" si="111"/>
        <v>30.46875</v>
      </c>
      <c r="L52" s="4">
        <f t="shared" si="112"/>
        <v>4.57763671875</v>
      </c>
    </row>
    <row r="53" ht="14.25">
      <c r="H53" s="4">
        <f t="shared" si="108"/>
        <v>75</v>
      </c>
      <c r="I53" s="4">
        <f t="shared" si="109"/>
        <v>3</v>
      </c>
      <c r="J53" s="4">
        <f t="shared" si="110"/>
        <v>9.375e-002</v>
      </c>
      <c r="K53" s="4">
        <f t="shared" si="111"/>
        <v>7.03125</v>
      </c>
      <c r="L53" s="4">
        <f t="shared" si="112"/>
        <v>16.14990234375</v>
      </c>
    </row>
    <row r="54" ht="14.25">
      <c r="H54" s="4">
        <f t="shared" si="108"/>
        <v>85</v>
      </c>
      <c r="I54" s="4">
        <f t="shared" si="109"/>
        <v>0</v>
      </c>
      <c r="J54" s="4">
        <f t="shared" si="110"/>
        <v>0</v>
      </c>
      <c r="K54" s="4">
        <f t="shared" si="111"/>
        <v>0</v>
      </c>
      <c r="L54" s="4">
        <f t="shared" si="112"/>
        <v>0</v>
      </c>
    </row>
    <row r="55" ht="14.25">
      <c r="H55" s="4">
        <f t="shared" si="108"/>
        <v>95</v>
      </c>
      <c r="I55" s="4">
        <f t="shared" si="109"/>
        <v>0</v>
      </c>
      <c r="J55" s="4">
        <f t="shared" si="110"/>
        <v>0</v>
      </c>
      <c r="K55" s="4">
        <f t="shared" si="111"/>
        <v>0</v>
      </c>
      <c r="L55" s="4">
        <f t="shared" si="112"/>
        <v>0</v>
      </c>
    </row>
    <row r="56" ht="14.25">
      <c r="H56" s="4">
        <f t="shared" si="108"/>
        <v>105</v>
      </c>
      <c r="I56" s="4">
        <f t="shared" si="109"/>
        <v>0</v>
      </c>
      <c r="J56" s="4">
        <f t="shared" si="110"/>
        <v>0</v>
      </c>
      <c r="K56" s="4">
        <f t="shared" si="111"/>
        <v>0</v>
      </c>
      <c r="L56" s="4">
        <f t="shared" si="112"/>
        <v>0</v>
      </c>
    </row>
    <row r="57" ht="14.25">
      <c r="H57" s="4">
        <f t="shared" si="108"/>
        <v>115</v>
      </c>
      <c r="I57" s="4">
        <f t="shared" si="109"/>
        <v>1</v>
      </c>
      <c r="J57" s="4">
        <f t="shared" si="110"/>
        <v>3.125e-002</v>
      </c>
      <c r="K57" s="4">
        <f t="shared" si="111"/>
        <v>3.59375</v>
      </c>
      <c r="L57" s="4">
        <f t="shared" si="112"/>
        <v>88.19580078125</v>
      </c>
    </row>
    <row r="58" ht="14.25">
      <c r="I58">
        <f>SUM(I50:I57)</f>
        <v>32</v>
      </c>
      <c r="J58" s="4">
        <f>SUM(J50:J57)</f>
        <v>1</v>
      </c>
      <c r="K58" s="4">
        <f>SUM(K50:K57)</f>
        <v>61.875</v>
      </c>
      <c r="L58" s="4">
        <f>SUM(L50:L57)</f>
        <v>165.234375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33" zoomScale="100" workbookViewId="0">
      <selection activeCell="A1" activeCellId="0" sqref="A1"/>
    </sheetView>
  </sheetViews>
  <sheetFormatPr defaultRowHeight="14.25"/>
  <sheetData>
    <row r="1" ht="14.25">
      <c r="A1" s="4" t="s">
        <v>0</v>
      </c>
      <c r="B1" s="4" t="s">
        <v>1</v>
      </c>
      <c r="C1" s="4" t="s">
        <v>2</v>
      </c>
      <c r="D1" s="4" t="s">
        <v>3</v>
      </c>
      <c r="E1" t="s">
        <v>2</v>
      </c>
      <c r="F1" t="s">
        <v>3</v>
      </c>
      <c r="G1" s="14" t="s">
        <v>53</v>
      </c>
      <c r="H1" s="14"/>
      <c r="L1" s="15">
        <f>L2/$R$2</f>
        <v>3.125e-002</v>
      </c>
      <c r="M1" s="8">
        <f>M2/$R$2</f>
        <v>9.375e-002</v>
      </c>
      <c r="N1" s="8">
        <f>N2/$R$2</f>
        <v>0.46875</v>
      </c>
      <c r="O1" s="8">
        <f>O2/$R$2</f>
        <v>0.28125</v>
      </c>
      <c r="P1" s="8">
        <f>P2/$R$2</f>
        <v>9.375e-002</v>
      </c>
      <c r="Q1" s="8">
        <f>Q2/$R$2</f>
        <v>3.125e-002</v>
      </c>
    </row>
    <row r="2" ht="14.25">
      <c r="A2" s="4" t="s">
        <v>4</v>
      </c>
      <c r="B2" s="4" t="s">
        <v>5</v>
      </c>
      <c r="C2" s="4">
        <v>158</v>
      </c>
      <c r="D2" s="4">
        <f>G2</f>
        <v>1</v>
      </c>
      <c r="E2">
        <f>FLOOR(C2,10)+5</f>
        <v>155</v>
      </c>
      <c r="F2" s="4">
        <f>G2</f>
        <v>1</v>
      </c>
      <c r="G2" s="16">
        <v>1</v>
      </c>
      <c r="H2" s="16"/>
      <c r="L2">
        <f>COUNTIF($E$2:$E$33,L3)</f>
        <v>1</v>
      </c>
      <c r="M2" s="4">
        <f>COUNTIF($E$2:$E$33,M3)</f>
        <v>3</v>
      </c>
      <c r="N2" s="4">
        <f>COUNTIF($E$2:$E$33,N3)</f>
        <v>15</v>
      </c>
      <c r="O2" s="4">
        <f>COUNTIF($E$2:$E$33,O3)</f>
        <v>9</v>
      </c>
      <c r="P2" s="4">
        <f>COUNTIF($E$2:$E$33,P3)</f>
        <v>3</v>
      </c>
      <c r="Q2" s="4">
        <f>COUNTIF($E$2:$E$33,Q3)</f>
        <v>1</v>
      </c>
      <c r="R2">
        <f>SUM(L2:Q2)</f>
        <v>32</v>
      </c>
    </row>
    <row r="3" ht="14.25">
      <c r="A3" s="4" t="s">
        <v>6</v>
      </c>
      <c r="B3" s="4" t="s">
        <v>7</v>
      </c>
      <c r="C3" s="4">
        <v>160</v>
      </c>
      <c r="D3" s="4">
        <f>G3</f>
        <v>4</v>
      </c>
      <c r="E3" s="4">
        <f>FLOOR(C3,10)+5</f>
        <v>165</v>
      </c>
      <c r="F3" s="4">
        <f>G3</f>
        <v>4</v>
      </c>
      <c r="G3" s="16">
        <v>4</v>
      </c>
      <c r="H3" s="16"/>
      <c r="L3" s="17">
        <v>145</v>
      </c>
      <c r="M3" s="17">
        <f>L3+10</f>
        <v>155</v>
      </c>
      <c r="N3" s="18">
        <f>M3+10</f>
        <v>165</v>
      </c>
      <c r="O3" s="18">
        <f>N3+10</f>
        <v>175</v>
      </c>
      <c r="P3" s="18">
        <f>O3+10</f>
        <v>185</v>
      </c>
      <c r="Q3" s="18">
        <f>P3+10</f>
        <v>195</v>
      </c>
      <c r="R3" s="5"/>
    </row>
    <row r="4" ht="14.25">
      <c r="A4" s="4" t="s">
        <v>8</v>
      </c>
      <c r="B4" s="4" t="s">
        <v>9</v>
      </c>
      <c r="C4" s="4">
        <v>162</v>
      </c>
      <c r="D4" s="4">
        <f>G4</f>
        <v>2</v>
      </c>
      <c r="E4" s="4">
        <f>FLOOR(C4,10)+5</f>
        <v>165</v>
      </c>
      <c r="F4" s="4">
        <f>G4</f>
        <v>2</v>
      </c>
      <c r="G4" s="4">
        <v>2</v>
      </c>
      <c r="H4" s="4">
        <f>K4*I4</f>
        <v>0.15625</v>
      </c>
      <c r="I4" s="15">
        <f>J4/N</f>
        <v>0.15625</v>
      </c>
      <c r="J4">
        <f>COUNTIF(data_berat,K4)</f>
        <v>5</v>
      </c>
      <c r="K4" s="17">
        <v>1</v>
      </c>
      <c r="L4">
        <f>COUNTIFS(data_berat,$K4,data_tinggi,L$3)/N</f>
        <v>0</v>
      </c>
      <c r="M4" s="4">
        <f>COUNTIFS(data_berat,$K4,data_tinggi,M$3)/N</f>
        <v>6.25e-002</v>
      </c>
      <c r="N4" s="4">
        <f>COUNTIFS(data_berat,$K4,data_tinggi,N$3)/N</f>
        <v>6.25e-002</v>
      </c>
      <c r="O4" s="4">
        <f>COUNTIFS(data_berat,$K4,data_tinggi,O$3)/N</f>
        <v>3.125e-002</v>
      </c>
      <c r="P4" s="4">
        <f>COUNTIFS(data_berat,$K4,data_tinggi,P$3)/N</f>
        <v>0</v>
      </c>
      <c r="Q4" s="4">
        <f>COUNTIFS(data_berat,$K4,data_tinggi,Q$3)/N</f>
        <v>0</v>
      </c>
      <c r="R4" s="5">
        <f>SUM(L4:Q4)</f>
        <v>0.15625</v>
      </c>
    </row>
    <row r="5" ht="14.25">
      <c r="A5" s="4" t="s">
        <v>10</v>
      </c>
      <c r="B5" s="4" t="s">
        <v>11</v>
      </c>
      <c r="C5" s="4">
        <v>169</v>
      </c>
      <c r="D5" s="4">
        <f>G5</f>
        <v>4</v>
      </c>
      <c r="E5" s="4">
        <f>FLOOR(C5,10)+5</f>
        <v>165</v>
      </c>
      <c r="F5" s="4">
        <f>G5</f>
        <v>4</v>
      </c>
      <c r="G5" s="4">
        <v>4</v>
      </c>
      <c r="H5" s="4">
        <f>K5*I5</f>
        <v>0.5625</v>
      </c>
      <c r="I5" s="8">
        <f>J5/N</f>
        <v>0.28125</v>
      </c>
      <c r="J5" s="4">
        <f>COUNTIF(data_berat,K5)</f>
        <v>9</v>
      </c>
      <c r="K5" s="17">
        <v>2</v>
      </c>
      <c r="L5" s="4">
        <f>COUNTIFS(data_berat,$K5,data_tinggi,L$3)/N</f>
        <v>3.125e-002</v>
      </c>
      <c r="M5" s="4">
        <f>COUNTIFS(data_berat,$K5,data_tinggi,M$3)/N</f>
        <v>3.125e-002</v>
      </c>
      <c r="N5" s="4">
        <f>COUNTIFS(data_berat,$K5,data_tinggi,N$3)/N</f>
        <v>9.375e-002</v>
      </c>
      <c r="O5" s="4">
        <f>COUNTIFS(data_berat,$K5,data_tinggi,O$3)/N</f>
        <v>6.25e-002</v>
      </c>
      <c r="P5" s="4">
        <f>COUNTIFS(data_berat,$K5,data_tinggi,P$3)/N</f>
        <v>6.25e-002</v>
      </c>
      <c r="Q5" s="4">
        <f>COUNTIFS(data_berat,$K5,data_tinggi,Q$3)/N</f>
        <v>0</v>
      </c>
      <c r="R5" s="5">
        <f>SUM(L5:Q5)</f>
        <v>0.28125</v>
      </c>
    </row>
    <row r="6" ht="14.25">
      <c r="A6" s="4" t="s">
        <v>12</v>
      </c>
      <c r="B6" s="4" t="s">
        <v>9</v>
      </c>
      <c r="C6" s="4">
        <v>172</v>
      </c>
      <c r="D6" s="4">
        <f>G6</f>
        <v>2</v>
      </c>
      <c r="E6" s="4">
        <f>FLOOR(C6,10)+5</f>
        <v>175</v>
      </c>
      <c r="F6" s="4">
        <f>G6</f>
        <v>2</v>
      </c>
      <c r="G6" s="4">
        <v>2</v>
      </c>
      <c r="H6" s="4">
        <f>K6*I6</f>
        <v>0.46875</v>
      </c>
      <c r="I6" s="8">
        <f>J6/N</f>
        <v>0.15625</v>
      </c>
      <c r="J6" s="4">
        <f>COUNTIF(data_berat,K6)</f>
        <v>5</v>
      </c>
      <c r="K6" s="18">
        <v>3</v>
      </c>
      <c r="L6" s="4">
        <f>COUNTIFS(data_berat,$K6,data_tinggi,L$3)/N</f>
        <v>0</v>
      </c>
      <c r="M6" s="4">
        <f>COUNTIFS(data_berat,$K6,data_tinggi,M$3)/N</f>
        <v>0</v>
      </c>
      <c r="N6" s="4">
        <f>COUNTIFS(data_berat,$K6,data_tinggi,N$3)/N</f>
        <v>0.125</v>
      </c>
      <c r="O6" s="4">
        <f>COUNTIFS(data_berat,$K6,data_tinggi,O$3)/N</f>
        <v>3.125e-002</v>
      </c>
      <c r="P6" s="4">
        <f>COUNTIFS(data_berat,$K6,data_tinggi,P$3)/N</f>
        <v>0</v>
      </c>
      <c r="Q6" s="4">
        <f>COUNTIFS(data_berat,$K6,data_tinggi,Q$3)/N</f>
        <v>0</v>
      </c>
      <c r="R6" s="5">
        <f>SUM(L6:Q6)</f>
        <v>0.15625</v>
      </c>
    </row>
    <row r="7" ht="14.25">
      <c r="A7" s="4" t="s">
        <v>13</v>
      </c>
      <c r="B7" s="4" t="s">
        <v>14</v>
      </c>
      <c r="C7" s="4">
        <v>162</v>
      </c>
      <c r="D7" s="4">
        <f>G7</f>
        <v>3</v>
      </c>
      <c r="E7" s="4">
        <f>FLOOR(C7,10)+5</f>
        <v>165</v>
      </c>
      <c r="F7" s="4">
        <f>G7</f>
        <v>3</v>
      </c>
      <c r="G7" s="4">
        <v>3</v>
      </c>
      <c r="H7" s="4">
        <f>K7*I7</f>
        <v>1.625</v>
      </c>
      <c r="I7" s="8">
        <f>J7/N</f>
        <v>0.40625</v>
      </c>
      <c r="J7" s="4">
        <f>COUNTIF(data_berat,K7)</f>
        <v>13</v>
      </c>
      <c r="K7" s="18">
        <v>4</v>
      </c>
      <c r="L7" s="4">
        <f>COUNTIFS(data_berat,$K7,data_tinggi,L$3)/N</f>
        <v>0</v>
      </c>
      <c r="M7" s="4">
        <f>COUNTIFS(data_berat,$K7,data_tinggi,M$3)/N</f>
        <v>0</v>
      </c>
      <c r="N7" s="4">
        <f>COUNTIFS(data_berat,$K7,data_tinggi,N$3)/N</f>
        <v>0.1875</v>
      </c>
      <c r="O7" s="4">
        <f>COUNTIFS(data_berat,$K7,data_tinggi,O$3)/N</f>
        <v>0.15625</v>
      </c>
      <c r="P7" s="4">
        <f>COUNTIFS(data_berat,$K7,data_tinggi,P$3)/N</f>
        <v>3.125e-002</v>
      </c>
      <c r="Q7" s="4">
        <f>COUNTIFS(data_berat,$K7,data_tinggi,Q$3)/N</f>
        <v>3.125e-002</v>
      </c>
      <c r="R7" s="5">
        <f>SUM(L7:Q7)</f>
        <v>0.40625</v>
      </c>
    </row>
    <row r="8" ht="14.25">
      <c r="A8" s="4" t="s">
        <v>15</v>
      </c>
      <c r="B8" s="4" t="s">
        <v>9</v>
      </c>
      <c r="C8" s="4">
        <v>174</v>
      </c>
      <c r="D8" s="4">
        <f>G8</f>
        <v>2</v>
      </c>
      <c r="E8" s="4">
        <f>FLOOR(C8,10)+5</f>
        <v>175</v>
      </c>
      <c r="F8" s="4">
        <f>G8</f>
        <v>2</v>
      </c>
      <c r="G8" s="4">
        <v>2</v>
      </c>
      <c r="H8" s="4">
        <f>K8*I8</f>
        <v>0</v>
      </c>
      <c r="I8" s="8">
        <f>J8/N</f>
        <v>0</v>
      </c>
      <c r="J8" s="4">
        <f>COUNTIF(data_berat,K8)</f>
        <v>0</v>
      </c>
      <c r="K8" s="18">
        <f>K7+10</f>
        <v>14</v>
      </c>
      <c r="L8" s="4">
        <f>COUNTIFS(data_berat,$K8,data_tinggi,L$3)/N</f>
        <v>0</v>
      </c>
      <c r="M8" s="4">
        <f>COUNTIFS(data_berat,$K8,data_tinggi,M$3)/N</f>
        <v>0</v>
      </c>
      <c r="N8" s="4">
        <f>COUNTIFS(data_berat,$K8,data_tinggi,N$3)/N</f>
        <v>0</v>
      </c>
      <c r="O8" s="4">
        <f>COUNTIFS(data_berat,$K8,data_tinggi,O$3)/N</f>
        <v>0</v>
      </c>
      <c r="P8" s="4">
        <f>COUNTIFS(data_berat,$K8,data_tinggi,P$3)/N</f>
        <v>0</v>
      </c>
      <c r="Q8" s="4">
        <f>COUNTIFS(data_berat,$K8,data_tinggi,Q$3)/N</f>
        <v>0</v>
      </c>
      <c r="R8" s="5">
        <f>SUM(L8:Q8)</f>
        <v>0</v>
      </c>
    </row>
    <row r="9" ht="14.25">
      <c r="A9" s="4" t="s">
        <v>16</v>
      </c>
      <c r="B9" s="4" t="s">
        <v>17</v>
      </c>
      <c r="C9" s="4">
        <v>162</v>
      </c>
      <c r="D9" s="4">
        <f>G9</f>
        <v>3</v>
      </c>
      <c r="E9" s="4">
        <f>FLOOR(C9,10)+5</f>
        <v>165</v>
      </c>
      <c r="F9" s="4">
        <f>G9</f>
        <v>3</v>
      </c>
      <c r="G9" s="4">
        <v>3</v>
      </c>
      <c r="H9" s="4">
        <f>K9*I9</f>
        <v>0</v>
      </c>
      <c r="I9" s="8">
        <f>J9/N</f>
        <v>0</v>
      </c>
      <c r="J9" s="4">
        <f>COUNTIF(data_berat,K9)</f>
        <v>0</v>
      </c>
      <c r="K9" s="18">
        <f>K8+10</f>
        <v>24</v>
      </c>
      <c r="L9" s="4">
        <f>COUNTIFS(data_berat,$K9,data_tinggi,L$3)/N</f>
        <v>0</v>
      </c>
      <c r="M9" s="4">
        <f>COUNTIFS(data_berat,$K9,data_tinggi,M$3)/N</f>
        <v>0</v>
      </c>
      <c r="N9" s="4">
        <f>COUNTIFS(data_berat,$K9,data_tinggi,N$3)/N</f>
        <v>0</v>
      </c>
      <c r="O9" s="4">
        <f>COUNTIFS(data_berat,$K9,data_tinggi,O$3)/N</f>
        <v>0</v>
      </c>
      <c r="P9" s="4">
        <f>COUNTIFS(data_berat,$K9,data_tinggi,P$3)/N</f>
        <v>0</v>
      </c>
      <c r="Q9" s="4">
        <f>COUNTIFS(data_berat,$K9,data_tinggi,Q$3)/N</f>
        <v>0</v>
      </c>
      <c r="R9" s="5">
        <f>SUM(L9:Q9)</f>
        <v>0</v>
      </c>
    </row>
    <row r="10" ht="14.25">
      <c r="A10" s="4" t="s">
        <v>18</v>
      </c>
      <c r="B10" s="4" t="s">
        <v>7</v>
      </c>
      <c r="C10" s="4">
        <v>172</v>
      </c>
      <c r="D10" s="4">
        <f>G10</f>
        <v>4</v>
      </c>
      <c r="E10" s="4">
        <f>FLOOR(C10,10)+5</f>
        <v>175</v>
      </c>
      <c r="F10" s="4">
        <f>G10</f>
        <v>4</v>
      </c>
      <c r="G10" s="4">
        <v>4</v>
      </c>
      <c r="H10" s="4">
        <f>K10*I10</f>
        <v>0</v>
      </c>
      <c r="I10" s="8">
        <f>J10/N</f>
        <v>0</v>
      </c>
      <c r="J10" s="4">
        <f>COUNTIF(data_berat,K10)</f>
        <v>0</v>
      </c>
      <c r="K10" s="18">
        <f>K9+10</f>
        <v>34</v>
      </c>
      <c r="L10" s="4">
        <f>COUNTIFS(data_berat,$K10,data_tinggi,L$3)/N</f>
        <v>0</v>
      </c>
      <c r="M10" s="4">
        <f>COUNTIFS(data_berat,$K10,data_tinggi,M$3)/N</f>
        <v>0</v>
      </c>
      <c r="N10" s="4">
        <f>COUNTIFS(data_berat,$K10,data_tinggi,N$3)/N</f>
        <v>0</v>
      </c>
      <c r="O10" s="4">
        <f>COUNTIFS(data_berat,$K10,data_tinggi,O$3)/N</f>
        <v>0</v>
      </c>
      <c r="P10" s="4">
        <f>COUNTIFS(data_berat,$K10,data_tinggi,P$3)/N</f>
        <v>0</v>
      </c>
      <c r="Q10" s="4">
        <f>COUNTIFS(data_berat,$K10,data_tinggi,Q$3)/N</f>
        <v>0</v>
      </c>
      <c r="R10" s="5">
        <f>SUM(L10:Q10)</f>
        <v>0</v>
      </c>
    </row>
    <row r="11" ht="14.25">
      <c r="A11" s="4" t="s">
        <v>19</v>
      </c>
      <c r="B11" s="4" t="s">
        <v>7</v>
      </c>
      <c r="C11" s="4">
        <v>185</v>
      </c>
      <c r="D11" s="4">
        <f>G11</f>
        <v>4</v>
      </c>
      <c r="E11" s="4">
        <f>FLOOR(C11,10)+5</f>
        <v>185</v>
      </c>
      <c r="F11" s="4">
        <f>G11</f>
        <v>4</v>
      </c>
      <c r="G11" s="4">
        <v>4</v>
      </c>
      <c r="H11" s="4">
        <f>K11*I11</f>
        <v>0</v>
      </c>
      <c r="I11" s="8">
        <f>J11/N</f>
        <v>0</v>
      </c>
      <c r="J11" s="4">
        <f>COUNTIF(data_berat,K11)</f>
        <v>0</v>
      </c>
      <c r="K11" s="18">
        <f>K10+10</f>
        <v>44</v>
      </c>
      <c r="L11" s="4">
        <f>COUNTIFS(data_berat,$K11,data_tinggi,L$3)/N</f>
        <v>0</v>
      </c>
      <c r="M11" s="4">
        <f>COUNTIFS(data_berat,$K11,data_tinggi,M$3)/N</f>
        <v>0</v>
      </c>
      <c r="N11" s="4">
        <f>COUNTIFS(data_berat,$K11,data_tinggi,N$3)/N</f>
        <v>0</v>
      </c>
      <c r="O11" s="4">
        <f>COUNTIFS(data_berat,$K11,data_tinggi,O$3)/N</f>
        <v>0</v>
      </c>
      <c r="P11" s="4">
        <f>COUNTIFS(data_berat,$K11,data_tinggi,P$3)/N</f>
        <v>0</v>
      </c>
      <c r="Q11" s="4">
        <f>COUNTIFS(data_berat,$K11,data_tinggi,Q$3)/N</f>
        <v>0</v>
      </c>
      <c r="R11" s="5">
        <f>SUM(L11:Q11)</f>
        <v>0</v>
      </c>
    </row>
    <row r="12" ht="14.25">
      <c r="A12" s="4" t="s">
        <v>20</v>
      </c>
      <c r="B12" s="4" t="s">
        <v>7</v>
      </c>
      <c r="C12" s="4">
        <v>179</v>
      </c>
      <c r="D12" s="4">
        <f>G12</f>
        <v>4</v>
      </c>
      <c r="E12" s="4">
        <f>FLOOR(C12,10)+5</f>
        <v>175</v>
      </c>
      <c r="F12" s="4">
        <f>G12</f>
        <v>4</v>
      </c>
      <c r="G12" s="16">
        <v>4</v>
      </c>
      <c r="H12" s="16">
        <f>SUM(H4:H11)</f>
        <v>2.8125</v>
      </c>
      <c r="J12">
        <f>SUM(J4:J11)</f>
        <v>32</v>
      </c>
      <c r="L12" s="5">
        <f>SUM(L4:L11)</f>
        <v>3.125e-002</v>
      </c>
      <c r="M12" s="9">
        <f>SUM(M4:M11)</f>
        <v>9.375e-002</v>
      </c>
      <c r="N12" s="9">
        <f>SUM(N4:N11)</f>
        <v>0.46875</v>
      </c>
      <c r="O12" s="9">
        <f>SUM(O4:O11)</f>
        <v>0.28125</v>
      </c>
      <c r="P12" s="9">
        <f>SUM(P4:P11)</f>
        <v>9.375e-002</v>
      </c>
      <c r="Q12" s="9">
        <f>SUM(Q4:Q11)</f>
        <v>3.125e-002</v>
      </c>
    </row>
    <row r="13" ht="14.25">
      <c r="A13" s="4" t="s">
        <v>21</v>
      </c>
      <c r="B13" s="4" t="s">
        <v>22</v>
      </c>
      <c r="C13" s="4">
        <v>175</v>
      </c>
      <c r="D13" s="4">
        <f>G13</f>
        <v>4</v>
      </c>
      <c r="E13" s="4">
        <f>FLOOR(C13,10)+5</f>
        <v>175</v>
      </c>
      <c r="F13" s="4">
        <f>G13</f>
        <v>4</v>
      </c>
      <c r="G13" s="16">
        <v>4</v>
      </c>
      <c r="H13" s="16"/>
    </row>
    <row r="14" ht="14.25">
      <c r="A14" s="4" t="s">
        <v>23</v>
      </c>
      <c r="B14" s="4" t="s">
        <v>9</v>
      </c>
      <c r="C14" s="4">
        <v>149</v>
      </c>
      <c r="D14" s="4">
        <f>G14</f>
        <v>2</v>
      </c>
      <c r="E14" s="4">
        <f>FLOOR(C14,10)+5</f>
        <v>145</v>
      </c>
      <c r="F14" s="4">
        <f>G14</f>
        <v>2</v>
      </c>
      <c r="G14" s="16">
        <v>2</v>
      </c>
      <c r="H14" s="16"/>
    </row>
    <row r="15" ht="14.25">
      <c r="A15" s="4" t="s">
        <v>24</v>
      </c>
      <c r="B15" s="4" t="s">
        <v>25</v>
      </c>
      <c r="C15" s="4">
        <v>160</v>
      </c>
      <c r="D15" s="4">
        <f>G15</f>
        <v>3</v>
      </c>
      <c r="E15" s="4">
        <f>FLOOR(C15,10)+5</f>
        <v>165</v>
      </c>
      <c r="F15" s="4">
        <f>G15</f>
        <v>3</v>
      </c>
      <c r="G15" s="16">
        <v>3</v>
      </c>
      <c r="H15" s="16"/>
      <c r="K15">
        <f>K3</f>
        <v>0</v>
      </c>
      <c r="L15" s="4">
        <f>L3</f>
        <v>145</v>
      </c>
      <c r="M15" s="4">
        <f>M3</f>
        <v>155</v>
      </c>
      <c r="N15" s="4">
        <f>N3</f>
        <v>165</v>
      </c>
      <c r="O15" s="4">
        <f>O3</f>
        <v>175</v>
      </c>
      <c r="P15" s="4">
        <f>P3</f>
        <v>185</v>
      </c>
      <c r="Q15" s="4">
        <f>Q3</f>
        <v>195</v>
      </c>
    </row>
    <row r="16" ht="14.25">
      <c r="A16" s="4" t="s">
        <v>26</v>
      </c>
      <c r="B16" s="4" t="s">
        <v>22</v>
      </c>
      <c r="C16" s="4">
        <v>160</v>
      </c>
      <c r="D16" s="4">
        <f>G16</f>
        <v>4</v>
      </c>
      <c r="E16" s="4">
        <f>FLOOR(C16,10)+5</f>
        <v>165</v>
      </c>
      <c r="F16" s="4">
        <f>G16</f>
        <v>4</v>
      </c>
      <c r="G16" s="16">
        <v>4</v>
      </c>
      <c r="H16" s="16"/>
      <c r="K16" s="4">
        <f>K4</f>
        <v>1</v>
      </c>
      <c r="L16" s="19">
        <f>$K16*L4*L$15</f>
        <v>0</v>
      </c>
      <c r="M16" s="19">
        <f>$K16*M4*M$15</f>
        <v>9.6875</v>
      </c>
      <c r="N16" s="19">
        <f>$K16*N4*N$15</f>
        <v>10.3125</v>
      </c>
      <c r="O16" s="19">
        <f>$K16*O4*O$15</f>
        <v>5.46875</v>
      </c>
      <c r="P16" s="19">
        <f>$K16*P4*P$15</f>
        <v>0</v>
      </c>
      <c r="Q16" s="19">
        <f>$K16*Q4*Q$15</f>
        <v>0</v>
      </c>
    </row>
    <row r="17" ht="14.25">
      <c r="A17" s="4" t="s">
        <v>27</v>
      </c>
      <c r="B17" s="4" t="s">
        <v>22</v>
      </c>
      <c r="C17" s="4">
        <v>190</v>
      </c>
      <c r="D17" s="4">
        <f>G17</f>
        <v>4</v>
      </c>
      <c r="E17" s="4">
        <f>FLOOR(C17,10)+5</f>
        <v>195</v>
      </c>
      <c r="F17" s="4">
        <f>G17</f>
        <v>4</v>
      </c>
      <c r="G17" s="16">
        <v>4</v>
      </c>
      <c r="H17" s="16"/>
      <c r="K17" s="4">
        <f>K5</f>
        <v>2</v>
      </c>
      <c r="L17" s="19">
        <f>$K17*L5*L$15</f>
        <v>9.0625</v>
      </c>
      <c r="M17" s="19">
        <f>$K17*M5*M$15</f>
        <v>9.6875</v>
      </c>
      <c r="N17" s="19">
        <f>$K17*N5*N$15</f>
        <v>30.9375</v>
      </c>
      <c r="O17" s="19">
        <f>$K17*O5*O$15</f>
        <v>21.875</v>
      </c>
      <c r="P17" s="19">
        <f>$K17*P5*P$15</f>
        <v>23.125</v>
      </c>
      <c r="Q17" s="19">
        <f>$K17*Q5*Q$15</f>
        <v>0</v>
      </c>
    </row>
    <row r="18" ht="14.25">
      <c r="A18" s="4" t="s">
        <v>28</v>
      </c>
      <c r="B18" s="4" t="s">
        <v>5</v>
      </c>
      <c r="C18" s="4">
        <v>168</v>
      </c>
      <c r="D18" s="4">
        <f>G18</f>
        <v>1</v>
      </c>
      <c r="E18" s="4">
        <f>FLOOR(C18,10)+5</f>
        <v>165</v>
      </c>
      <c r="F18" s="4">
        <f>G18</f>
        <v>1</v>
      </c>
      <c r="G18" s="16">
        <v>1</v>
      </c>
      <c r="H18" s="16"/>
      <c r="K18" s="4">
        <f>K6</f>
        <v>3</v>
      </c>
      <c r="L18" s="19">
        <f>$K18*L6*L$15</f>
        <v>0</v>
      </c>
      <c r="M18" s="19">
        <f>$K18*M6*M$15</f>
        <v>0</v>
      </c>
      <c r="N18" s="19">
        <f>$K18*N6*N$15</f>
        <v>61.875</v>
      </c>
      <c r="O18" s="19">
        <f>$K18*O6*O$15</f>
        <v>16.40625</v>
      </c>
      <c r="P18" s="19">
        <f>$K18*P6*P$15</f>
        <v>0</v>
      </c>
      <c r="Q18" s="19">
        <f>$K18*Q6*Q$15</f>
        <v>0</v>
      </c>
    </row>
    <row r="19" ht="14.25">
      <c r="A19" s="4" t="s">
        <v>29</v>
      </c>
      <c r="B19" s="4" t="s">
        <v>22</v>
      </c>
      <c r="C19" s="4">
        <v>160</v>
      </c>
      <c r="D19" s="4">
        <f>G19</f>
        <v>4</v>
      </c>
      <c r="E19" s="4">
        <f>FLOOR(C19,10)+5</f>
        <v>165</v>
      </c>
      <c r="F19" s="4">
        <f>G19</f>
        <v>4</v>
      </c>
      <c r="G19" s="16">
        <v>4</v>
      </c>
      <c r="H19" s="16"/>
      <c r="K19" s="4">
        <f>K7</f>
        <v>4</v>
      </c>
      <c r="L19" s="19">
        <f>$K19*L7*L$15</f>
        <v>0</v>
      </c>
      <c r="M19" s="19">
        <f>$K19*M7*M$15</f>
        <v>0</v>
      </c>
      <c r="N19" s="19">
        <f>$K19*N7*N$15</f>
        <v>123.75</v>
      </c>
      <c r="O19" s="19">
        <f>$K19*O7*O$15</f>
        <v>109.375</v>
      </c>
      <c r="P19" s="19">
        <f>$K19*P7*P$15</f>
        <v>23.125</v>
      </c>
      <c r="Q19" s="19">
        <f>$K19*Q7*Q$15</f>
        <v>24.375</v>
      </c>
    </row>
    <row r="20" ht="14.25">
      <c r="A20" s="4" t="s">
        <v>30</v>
      </c>
      <c r="B20" s="4" t="s">
        <v>31</v>
      </c>
      <c r="C20" s="4">
        <v>166</v>
      </c>
      <c r="D20" s="4">
        <f>G20</f>
        <v>1</v>
      </c>
      <c r="E20" s="4">
        <f>FLOOR(C20,10)+5</f>
        <v>165</v>
      </c>
      <c r="F20" s="4">
        <f>G20</f>
        <v>1</v>
      </c>
      <c r="G20" s="16">
        <v>1</v>
      </c>
      <c r="H20" s="16"/>
      <c r="K20" s="4">
        <f>K8</f>
        <v>14</v>
      </c>
      <c r="L20" s="19">
        <f>$K20*L8*L$15</f>
        <v>0</v>
      </c>
      <c r="M20" s="19">
        <f>$K20*M8*M$15</f>
        <v>0</v>
      </c>
      <c r="N20" s="19">
        <f>$K20*N8*N$15</f>
        <v>0</v>
      </c>
      <c r="O20" s="19">
        <f>$K20*O8*O$15</f>
        <v>0</v>
      </c>
      <c r="P20" s="19">
        <f>$K20*P8*P$15</f>
        <v>0</v>
      </c>
      <c r="Q20" s="19">
        <f>$K20*Q8*Q$15</f>
        <v>0</v>
      </c>
    </row>
    <row r="21" ht="14.25">
      <c r="A21" s="4" t="s">
        <v>32</v>
      </c>
      <c r="B21" s="4" t="s">
        <v>33</v>
      </c>
      <c r="C21" s="4">
        <v>160</v>
      </c>
      <c r="D21" s="4">
        <f>G21</f>
        <v>2</v>
      </c>
      <c r="E21" s="4">
        <f>FLOOR(C21,10)+5</f>
        <v>165</v>
      </c>
      <c r="F21" s="4">
        <f>G21</f>
        <v>2</v>
      </c>
      <c r="G21" s="16">
        <v>2</v>
      </c>
      <c r="H21" s="16"/>
      <c r="K21" s="4">
        <f>K9</f>
        <v>24</v>
      </c>
      <c r="L21" s="19">
        <f>$K21*L9*L$15</f>
        <v>0</v>
      </c>
      <c r="M21" s="19">
        <f>$K21*M9*M$15</f>
        <v>0</v>
      </c>
      <c r="N21" s="19">
        <f>$K21*N9*N$15</f>
        <v>0</v>
      </c>
      <c r="O21" s="19">
        <f>$K21*O9*O$15</f>
        <v>0</v>
      </c>
      <c r="P21" s="19">
        <f>$K21*P9*P$15</f>
        <v>0</v>
      </c>
      <c r="Q21" s="19">
        <f>$K21*Q9*Q$15</f>
        <v>0</v>
      </c>
    </row>
    <row r="22" ht="14.25">
      <c r="A22" s="4" t="s">
        <v>34</v>
      </c>
      <c r="B22" s="4" t="s">
        <v>22</v>
      </c>
      <c r="C22" s="4">
        <v>165</v>
      </c>
      <c r="D22" s="4">
        <f>G22</f>
        <v>4</v>
      </c>
      <c r="E22" s="4">
        <f>FLOOR(C22,10)+5</f>
        <v>165</v>
      </c>
      <c r="F22" s="4">
        <f>G22</f>
        <v>4</v>
      </c>
      <c r="G22" s="16">
        <v>4</v>
      </c>
      <c r="H22" s="16"/>
      <c r="K22" s="4">
        <f>K10</f>
        <v>34</v>
      </c>
      <c r="L22" s="19">
        <f>$K22*L10*L$15</f>
        <v>0</v>
      </c>
      <c r="M22" s="19">
        <f>$K22*M10*M$15</f>
        <v>0</v>
      </c>
      <c r="N22" s="19">
        <f>$K22*N10*N$15</f>
        <v>0</v>
      </c>
      <c r="O22" s="19">
        <f>$K22*O10*O$15</f>
        <v>0</v>
      </c>
      <c r="P22" s="19">
        <f>$K22*P10*P$15</f>
        <v>0</v>
      </c>
      <c r="Q22" s="19">
        <f>$K22*Q10*Q$15</f>
        <v>0</v>
      </c>
    </row>
    <row r="23" ht="14.25">
      <c r="A23" s="4" t="s">
        <v>35</v>
      </c>
      <c r="B23" s="4" t="s">
        <v>22</v>
      </c>
      <c r="C23" s="4">
        <v>171</v>
      </c>
      <c r="D23" s="4">
        <f>G23</f>
        <v>4</v>
      </c>
      <c r="E23" s="4">
        <f>FLOOR(C23,10)+5</f>
        <v>175</v>
      </c>
      <c r="F23" s="4">
        <f>G23</f>
        <v>4</v>
      </c>
      <c r="G23" s="16">
        <v>4</v>
      </c>
      <c r="H23" s="16"/>
      <c r="K23" s="4">
        <f>K11</f>
        <v>44</v>
      </c>
      <c r="L23" s="19">
        <f>$K23*L11*L$15</f>
        <v>0</v>
      </c>
      <c r="M23" s="19">
        <f>$K23*M11*M$15</f>
        <v>0</v>
      </c>
      <c r="N23" s="19">
        <f>$K23*N11*N$15</f>
        <v>0</v>
      </c>
      <c r="O23" s="19">
        <f>$K23*O11*O$15</f>
        <v>0</v>
      </c>
      <c r="P23" s="19">
        <f>$K23*P11*P$15</f>
        <v>0</v>
      </c>
      <c r="Q23" s="19">
        <f>$K23*Q11*Q$15</f>
        <v>0</v>
      </c>
    </row>
    <row r="24" ht="14.25">
      <c r="A24" s="4" t="s">
        <v>36</v>
      </c>
      <c r="B24" s="4" t="s">
        <v>31</v>
      </c>
      <c r="C24" s="4">
        <v>150</v>
      </c>
      <c r="D24" s="4">
        <f>G24</f>
        <v>1</v>
      </c>
      <c r="E24" s="4">
        <f>FLOOR(C24,10)+5</f>
        <v>155</v>
      </c>
      <c r="F24" s="4">
        <f>G24</f>
        <v>1</v>
      </c>
      <c r="G24" s="16">
        <v>1</v>
      </c>
      <c r="H24" s="16"/>
      <c r="R24">
        <f>SUM(L16:Q23)</f>
        <v>479.0625</v>
      </c>
    </row>
    <row r="25" ht="14.25">
      <c r="A25" s="4" t="s">
        <v>37</v>
      </c>
      <c r="B25" s="4" t="s">
        <v>25</v>
      </c>
      <c r="C25" s="4">
        <v>174</v>
      </c>
      <c r="D25" s="4">
        <f>G25</f>
        <v>3</v>
      </c>
      <c r="E25" s="4">
        <f>FLOOR(C25,10)+5</f>
        <v>175</v>
      </c>
      <c r="F25" s="4">
        <f>G25</f>
        <v>3</v>
      </c>
      <c r="G25" s="16">
        <v>3</v>
      </c>
      <c r="H25" s="16"/>
      <c r="I25" t="s">
        <v>70</v>
      </c>
      <c r="J25">
        <f>R24</f>
        <v>479.0625</v>
      </c>
    </row>
    <row r="26" ht="14.25">
      <c r="A26" s="4" t="s">
        <v>38</v>
      </c>
      <c r="B26" s="4" t="s">
        <v>14</v>
      </c>
      <c r="C26" s="4">
        <v>163</v>
      </c>
      <c r="D26" s="4">
        <f>G26</f>
        <v>3</v>
      </c>
      <c r="E26" s="4">
        <f>FLOOR(C26,10)+5</f>
        <v>165</v>
      </c>
      <c r="F26" s="4">
        <f>G26</f>
        <v>3</v>
      </c>
      <c r="G26" s="16">
        <v>3</v>
      </c>
      <c r="H26" s="16"/>
      <c r="I26" t="s">
        <v>71</v>
      </c>
      <c r="J26">
        <f>E38</f>
        <v>169.0625</v>
      </c>
    </row>
    <row r="27" ht="14.25">
      <c r="A27" s="4" t="s">
        <v>34</v>
      </c>
      <c r="B27" s="4" t="s">
        <v>39</v>
      </c>
      <c r="C27" s="4">
        <v>180</v>
      </c>
      <c r="D27" s="4">
        <f>G27</f>
        <v>2</v>
      </c>
      <c r="E27" s="4">
        <f>FLOOR(C27,10)+5</f>
        <v>185</v>
      </c>
      <c r="F27" s="4">
        <f>G27</f>
        <v>2</v>
      </c>
      <c r="G27" s="16">
        <v>2</v>
      </c>
      <c r="H27" s="16"/>
      <c r="I27" t="s">
        <v>72</v>
      </c>
      <c r="J27">
        <f>F38</f>
        <v>2.8125</v>
      </c>
    </row>
    <row r="28" ht="14.25">
      <c r="A28" s="4" t="s">
        <v>40</v>
      </c>
      <c r="B28" s="4" t="s">
        <v>9</v>
      </c>
      <c r="C28" s="4">
        <v>163</v>
      </c>
      <c r="D28" s="4">
        <f>G28</f>
        <v>2</v>
      </c>
      <c r="E28" s="4">
        <f>FLOOR(C28,10)+5</f>
        <v>165</v>
      </c>
      <c r="F28" s="4">
        <f>G28</f>
        <v>2</v>
      </c>
      <c r="G28" s="16">
        <v>2</v>
      </c>
      <c r="H28" s="16"/>
      <c r="I28" t="s">
        <v>73</v>
      </c>
      <c r="J28">
        <f>J25-(J27*J26)</f>
        <v>3.57421875</v>
      </c>
    </row>
    <row r="29" ht="14.25">
      <c r="A29" s="4" t="s">
        <v>41</v>
      </c>
      <c r="B29" s="4" t="s">
        <v>33</v>
      </c>
      <c r="C29" s="4">
        <v>184</v>
      </c>
      <c r="D29" s="4">
        <f>G29</f>
        <v>2</v>
      </c>
      <c r="E29" s="4">
        <f>FLOOR(C29,10)+5</f>
        <v>185</v>
      </c>
      <c r="F29" s="4">
        <f>G29</f>
        <v>2</v>
      </c>
      <c r="G29" s="16">
        <v>2</v>
      </c>
      <c r="H29" s="16"/>
    </row>
    <row r="30" ht="14.25">
      <c r="A30" s="4" t="s">
        <v>42</v>
      </c>
      <c r="B30" s="4" t="s">
        <v>43</v>
      </c>
      <c r="C30" s="4">
        <v>175</v>
      </c>
      <c r="D30" s="4">
        <f>G30</f>
        <v>1</v>
      </c>
      <c r="E30" s="4">
        <f>FLOOR(C30,10)+5</f>
        <v>175</v>
      </c>
      <c r="F30" s="4">
        <f>G30</f>
        <v>1</v>
      </c>
      <c r="G30" s="16">
        <v>1</v>
      </c>
      <c r="H30" s="16"/>
      <c r="I30" t="s">
        <v>74</v>
      </c>
      <c r="J30">
        <f>COVAR(E2:E33,F2:F33)</f>
        <v>3.57421875</v>
      </c>
    </row>
    <row r="31" ht="14.25">
      <c r="A31" s="4" t="s">
        <v>44</v>
      </c>
      <c r="B31" s="4" t="s">
        <v>22</v>
      </c>
      <c r="C31" s="4">
        <v>162</v>
      </c>
      <c r="D31" s="4">
        <f>G31</f>
        <v>4</v>
      </c>
      <c r="E31" s="4">
        <f>FLOOR(C31,10)+5</f>
        <v>165</v>
      </c>
      <c r="F31" s="4">
        <f>G31</f>
        <v>4</v>
      </c>
      <c r="G31" s="16">
        <v>4</v>
      </c>
      <c r="H31" s="16"/>
      <c r="I31" t="s">
        <v>75</v>
      </c>
      <c r="J31">
        <f>_xlfn.COVARIANCE.P(E2:E33,F2:F33)</f>
        <v>3.57421875</v>
      </c>
    </row>
    <row r="32" ht="14.25">
      <c r="A32" s="4" t="s">
        <v>45</v>
      </c>
      <c r="B32" s="4" t="s">
        <v>39</v>
      </c>
      <c r="C32" s="4">
        <v>150</v>
      </c>
      <c r="D32" s="4">
        <f>G32</f>
        <v>2</v>
      </c>
      <c r="E32" s="4">
        <f>FLOOR(C32,10)+5</f>
        <v>155</v>
      </c>
      <c r="F32" s="4">
        <f>G32</f>
        <v>2</v>
      </c>
      <c r="G32" s="16">
        <v>2</v>
      </c>
      <c r="H32" s="16"/>
    </row>
    <row r="33" ht="14.25">
      <c r="A33" s="4" t="s">
        <v>46</v>
      </c>
      <c r="B33" s="4" t="s">
        <v>7</v>
      </c>
      <c r="C33" s="4">
        <v>176</v>
      </c>
      <c r="D33" s="4">
        <f>G33</f>
        <v>4</v>
      </c>
      <c r="E33" s="4">
        <f>FLOOR(C33,10)+5</f>
        <v>175</v>
      </c>
      <c r="F33" s="4">
        <f>G33</f>
        <v>4</v>
      </c>
      <c r="G33" s="16">
        <v>4</v>
      </c>
      <c r="H33" s="16"/>
      <c r="I33" t="s">
        <v>76</v>
      </c>
      <c r="J33">
        <f>J31/(J34*J35)</f>
        <v>0.31764658620979419</v>
      </c>
    </row>
    <row r="34" ht="14.25">
      <c r="A34" s="4"/>
      <c r="B34" s="4"/>
      <c r="C34" s="4"/>
      <c r="D34" s="4"/>
      <c r="I34" t="s">
        <v>77</v>
      </c>
      <c r="J34">
        <f>E40</f>
        <v>9.9559577012962439</v>
      </c>
    </row>
    <row r="35" ht="14.25">
      <c r="A35" s="4" t="s">
        <v>48</v>
      </c>
      <c r="B35" s="20" t="s">
        <v>78</v>
      </c>
      <c r="C35" s="4">
        <f>MIN(C2:C33)</f>
        <v>149</v>
      </c>
      <c r="D35" s="4">
        <f>MIN(D2:D33)</f>
        <v>1</v>
      </c>
      <c r="E35" s="4">
        <f>MIN(E2:E33)</f>
        <v>145</v>
      </c>
      <c r="F35" s="4">
        <f>MIN(F2:F33)</f>
        <v>1</v>
      </c>
      <c r="G35" s="16"/>
      <c r="H35" s="16"/>
      <c r="I35" t="s">
        <v>79</v>
      </c>
      <c r="J35">
        <f>F40</f>
        <v>1.1301963325015703</v>
      </c>
    </row>
    <row r="36" ht="14.25">
      <c r="A36" s="4" t="s">
        <v>49</v>
      </c>
      <c r="B36" s="20" t="s">
        <v>80</v>
      </c>
      <c r="C36" s="4">
        <f>MAX(C2:C33)</f>
        <v>190</v>
      </c>
      <c r="D36" s="4">
        <f>MAX(D2:D33)</f>
        <v>4</v>
      </c>
      <c r="E36" s="4">
        <f>MAX(E2:E33)</f>
        <v>195</v>
      </c>
      <c r="F36" s="4">
        <f>MAX(F2:F33)</f>
        <v>4</v>
      </c>
      <c r="G36" s="16"/>
      <c r="H36" s="16"/>
    </row>
    <row r="37" ht="14.25">
      <c r="A37" s="4"/>
      <c r="B37" s="4"/>
      <c r="C37" s="4"/>
      <c r="D37" s="4"/>
    </row>
    <row r="38" ht="14.25">
      <c r="A38" s="4" t="s">
        <v>50</v>
      </c>
      <c r="B38" s="4"/>
      <c r="C38" s="4">
        <f>AVERAGE(C1:C33)</f>
        <v>167.375</v>
      </c>
      <c r="D38" s="4">
        <f>AVERAGE(D1:D33)</f>
        <v>2.8125</v>
      </c>
      <c r="E38" s="4">
        <f>AVERAGE(E1:E33)</f>
        <v>169.0625</v>
      </c>
      <c r="F38" s="4">
        <f>AVERAGE(F1:F33)</f>
        <v>2.8125</v>
      </c>
      <c r="G38" s="16"/>
      <c r="H38" s="16"/>
    </row>
    <row r="39" ht="14.25">
      <c r="A39" s="4" t="s">
        <v>51</v>
      </c>
      <c r="B39" s="4"/>
      <c r="C39" s="4">
        <f>_xlfn.VAR.P(C2:C33)</f>
        <v>99.796875</v>
      </c>
      <c r="D39" s="4">
        <f>_xlfn.VAR.P(D2:D33)</f>
        <v>1.27734375</v>
      </c>
      <c r="E39" s="4">
        <f>_xlfn.VAR.P(E2:E33)</f>
        <v>99.12109375</v>
      </c>
      <c r="F39" s="4">
        <f>_xlfn.VAR.P(F2:F33)</f>
        <v>1.27734375</v>
      </c>
      <c r="G39" s="16"/>
      <c r="H39" s="16"/>
    </row>
    <row r="40" ht="14.25">
      <c r="A40" s="4" t="s">
        <v>52</v>
      </c>
      <c r="B40" s="4"/>
      <c r="C40" s="4">
        <f>SQRT(C39)</f>
        <v>9.9898385872845807</v>
      </c>
      <c r="D40" s="4">
        <f>SQRT(D39)</f>
        <v>1.1301963325015703</v>
      </c>
      <c r="E40" s="4">
        <f>SQRT(E39)</f>
        <v>9.9559577012962439</v>
      </c>
      <c r="F40" s="4">
        <f>SQRT(F39)</f>
        <v>1.1301963325015703</v>
      </c>
      <c r="G40" s="16"/>
      <c r="H40" s="1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2026-04-15T07:47:55Z</dcterms:modified>
</cp:coreProperties>
</file>