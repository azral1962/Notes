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definedNames>
    <definedName name="row_label" hidden="0">Sheet1!$G$2:$G$6</definedName>
    <definedName name="column_label" hidden="0">Sheet1!$H$1:$L$1</definedName>
    <definedName name="weight_group_range" hidden="0">Sheet1!$E$2:$E$14</definedName>
    <definedName name="height_group_range" hidden="0">Sheet1!$F$2:$F$14</definedName>
    <definedName name="month_range" hidden="0">Sheet1!$B$2:$B$14</definedName>
    <definedName name="weight_range" hidden="0">Sheet1!$C$2:$C$14</definedName>
    <definedName name="height_range" hidden="0">Sheet1!$D$2:$D$14</definedName>
    <definedName name="M" hidden="0">Sheet1!$M$7</definedName>
    <definedName name="N" hidden="0">Sheet1!$H$19</definedName>
    <definedName name="joint_distribution" hidden="0">Sheet1!$H$2:$L$6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<sst xmlns="http://schemas.openxmlformats.org/spreadsheetml/2006/main" count="32" uniqueCount="32">
  <si>
    <t>name</t>
  </si>
  <si>
    <t>mob</t>
  </si>
  <si>
    <t>weight</t>
  </si>
  <si>
    <t>height</t>
  </si>
  <si>
    <t>w</t>
  </si>
  <si>
    <t>h</t>
  </si>
  <si>
    <t>140-149</t>
  </si>
  <si>
    <t>150-159</t>
  </si>
  <si>
    <t>160-169</t>
  </si>
  <si>
    <t>170-179</t>
  </si>
  <si>
    <t>180-189</t>
  </si>
  <si>
    <t>st01</t>
  </si>
  <si>
    <t>40-49</t>
  </si>
  <si>
    <t>st02</t>
  </si>
  <si>
    <t>50-59</t>
  </si>
  <si>
    <t>st03</t>
  </si>
  <si>
    <t>60-69</t>
  </si>
  <si>
    <t>st04</t>
  </si>
  <si>
    <t>70-79</t>
  </si>
  <si>
    <t>st05</t>
  </si>
  <si>
    <t>80-89</t>
  </si>
  <si>
    <t>st06</t>
  </si>
  <si>
    <t>st07</t>
  </si>
  <si>
    <t>st08</t>
  </si>
  <si>
    <t>st09</t>
  </si>
  <si>
    <t>st10</t>
  </si>
  <si>
    <t>st11</t>
  </si>
  <si>
    <t>min</t>
  </si>
  <si>
    <t>maks</t>
  </si>
  <si>
    <t>var</t>
  </si>
  <si>
    <t>std</t>
  </si>
  <si>
    <t>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</si>
</sst>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>
      <protection hidden="0" locked="1"/>
    </xf>
    <xf fontId="0" fillId="0" borderId="0" numFmtId="0" xfId="0">
      <protection hidden="0" locked="1"/>
    </xf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6</v>
      </c>
      <c r="I1" t="s">
        <v>7</v>
      </c>
      <c r="J1" t="s">
        <v>8</v>
      </c>
      <c r="K1" t="s">
        <v>9</v>
      </c>
      <c r="L1" t="s">
        <v>10</v>
      </c>
    </row>
    <row r="2" ht="14.25">
      <c r="A2" t="s">
        <v>11</v>
      </c>
      <c r="B2">
        <f ca="1">RANDBETWEEN(1,12)</f>
        <v>12</v>
      </c>
      <c r="C2">
        <f ca="1">_xlfn.NORM.INV(RAND(),60,10)</f>
        <v>55.826782444031622</v>
      </c>
      <c r="D2" s="2">
        <f ca="1">_xlfn.NORM.INV(RAND(),160,5)</f>
        <v>161.7569771881486</v>
      </c>
      <c r="E2" t="str">
        <f>FLOOR(C2,10)&amp;"-"&amp;FLOOR(C2,10)+9</f>
        <v>50-59</v>
      </c>
      <c r="F2" s="2" t="str">
        <f>FLOOR(D2,10)&amp;"-"&amp;FLOOR(D2,10)+9</f>
        <v>160-169</v>
      </c>
      <c r="G2" t="s">
        <v>12</v>
      </c>
      <c r="H2">
        <f>COUNTIFS(weight_group_range,row_label,height_group_range,column_label)/N</f>
        <v>0</v>
      </c>
      <c r="I2" s="2">
        <f>COUNTIFS(weight_group_range,row_label,height_group_range,column_label)/N</f>
        <v>0</v>
      </c>
      <c r="J2" s="2">
        <f>COUNTIFS(weight_group_range,row_label,height_group_range,column_label)/N</f>
        <v>0</v>
      </c>
      <c r="K2" s="2">
        <f>COUNTIFS(weight_group_range,row_label,height_group_range,column_label)/N</f>
        <v>0</v>
      </c>
      <c r="L2" s="2">
        <f>COUNTIFS(weight_group_range,row_label,height_group_range,column_label)/N</f>
        <v>0</v>
      </c>
    </row>
    <row r="3" ht="14.25">
      <c r="A3" t="s">
        <v>13</v>
      </c>
      <c r="B3" s="2">
        <f ca="1">RANDBETWEEN(1,12)</f>
        <v>4</v>
      </c>
      <c r="C3" s="2">
        <f ca="1">_xlfn.NORM.INV(RAND(),60,10)</f>
        <v>52.339060394052531</v>
      </c>
      <c r="D3" s="2">
        <f ca="1">_xlfn.NORM.INV(RAND(),160,10)</f>
        <v>165.08507371675068</v>
      </c>
      <c r="E3" s="2" t="str">
        <f>FLOOR(C3,10)&amp;"-"&amp;FLOOR(C3,10)+9</f>
        <v>50-59</v>
      </c>
      <c r="F3" s="2" t="str">
        <f>FLOOR(D3,10)&amp;"-"&amp;FLOOR(D3,10)+9</f>
        <v>160-169</v>
      </c>
      <c r="G3" t="s">
        <v>14</v>
      </c>
      <c r="H3" s="2">
        <f>COUNTIFS(weight_group_range,row_label,height_group_range,column_label)/N</f>
        <v>0</v>
      </c>
      <c r="I3" s="2">
        <f>COUNTIFS(weight_group_range,row_label,height_group_range,column_label)/N</f>
        <v>7.6923076923076927e-002</v>
      </c>
      <c r="J3" s="2">
        <f>COUNTIFS(weight_group_range,row_label,height_group_range,column_label)/N</f>
        <v>0.23076923076923078</v>
      </c>
      <c r="K3" s="2">
        <f>COUNTIFS(weight_group_range,row_label,height_group_range,column_label)/N</f>
        <v>7.6923076923076927e-002</v>
      </c>
      <c r="L3" s="2">
        <f>COUNTIFS(weight_group_range,row_label,height_group_range,column_label)/N</f>
        <v>0</v>
      </c>
    </row>
    <row r="4" ht="14.25">
      <c r="A4" s="3" t="s">
        <v>15</v>
      </c>
      <c r="B4" s="2">
        <f ca="1">RANDBETWEEN(1,12)</f>
        <v>12</v>
      </c>
      <c r="C4" s="2">
        <f ca="1">_xlfn.NORM.INV(RAND(),60,10)</f>
        <v>61.393136093774601</v>
      </c>
      <c r="D4" s="2">
        <f ca="1">_xlfn.NORM.INV(RAND(),160,10)</f>
        <v>165.98585585199933</v>
      </c>
      <c r="E4" s="2" t="str">
        <f>FLOOR(C4,10)&amp;"-"&amp;FLOOR(C4,10)+9</f>
        <v>60-69</v>
      </c>
      <c r="F4" s="2" t="str">
        <f>FLOOR(D4,10)&amp;"-"&amp;FLOOR(D4,10)+9</f>
        <v>160-169</v>
      </c>
      <c r="G4" t="s">
        <v>16</v>
      </c>
      <c r="H4" s="2">
        <f>COUNTIFS(weight_group_range,row_label,height_group_range,column_label)/N</f>
        <v>7.6923076923076927e-002</v>
      </c>
      <c r="I4" s="2">
        <f>COUNTIFS(weight_group_range,row_label,height_group_range,column_label)/N</f>
        <v>0.15384615384615385</v>
      </c>
      <c r="J4" s="2">
        <f>COUNTIFS(weight_group_range,row_label,height_group_range,column_label)/N</f>
        <v>7.6923076923076927e-002</v>
      </c>
      <c r="K4" s="2">
        <f>COUNTIFS(weight_group_range,row_label,height_group_range,column_label)/N</f>
        <v>0</v>
      </c>
      <c r="L4" s="2">
        <f>COUNTIFS(weight_group_range,row_label,height_group_range,column_label)/N</f>
        <v>0</v>
      </c>
    </row>
    <row r="5" ht="14.25">
      <c r="A5" s="3" t="s">
        <v>17</v>
      </c>
      <c r="B5" s="2">
        <f ca="1">RANDBETWEEN(1,12)</f>
        <v>8</v>
      </c>
      <c r="C5" s="2">
        <f ca="1">_xlfn.NORM.INV(RAND(),60,10)</f>
        <v>57.781187859225852</v>
      </c>
      <c r="D5" s="2">
        <f ca="1">_xlfn.NORM.INV(RAND(),160,10)</f>
        <v>156.26199083674391</v>
      </c>
      <c r="E5" s="2" t="str">
        <f>FLOOR(C5,10)&amp;"-"&amp;FLOOR(C5,10)+9</f>
        <v>50-59</v>
      </c>
      <c r="F5" s="2" t="str">
        <f>FLOOR(D5,10)&amp;"-"&amp;FLOOR(D5,10)+9</f>
        <v>150-159</v>
      </c>
      <c r="G5" t="s">
        <v>18</v>
      </c>
      <c r="H5" s="2">
        <f>COUNTIFS(weight_group_range,row_label,height_group_range,column_label)/N</f>
        <v>0</v>
      </c>
      <c r="I5" s="2">
        <f>COUNTIFS(weight_group_range,row_label,height_group_range,column_label)/N</f>
        <v>7.6923076923076927e-002</v>
      </c>
      <c r="J5" s="2">
        <f>COUNTIFS(weight_group_range,row_label,height_group_range,column_label)/N</f>
        <v>0.15384615384615385</v>
      </c>
      <c r="K5" s="2">
        <f>COUNTIFS(weight_group_range,row_label,height_group_range,column_label)/N</f>
        <v>0</v>
      </c>
      <c r="L5" s="2">
        <f>COUNTIFS(weight_group_range,row_label,height_group_range,column_label)/N</f>
        <v>0</v>
      </c>
    </row>
    <row r="6" ht="14.25">
      <c r="A6" s="3" t="s">
        <v>19</v>
      </c>
      <c r="B6" s="2">
        <f ca="1">RANDBETWEEN(1,12)</f>
        <v>2</v>
      </c>
      <c r="C6" s="2">
        <f ca="1">_xlfn.NORM.INV(RAND(),60,10)</f>
        <v>57.714163622990945</v>
      </c>
      <c r="D6" s="2">
        <f ca="1">_xlfn.NORM.INV(RAND(),160,10)</f>
        <v>174.83208315638856</v>
      </c>
      <c r="E6" s="2" t="str">
        <f>FLOOR(C6,10)&amp;"-"&amp;FLOOR(C6,10)+9</f>
        <v>50-59</v>
      </c>
      <c r="F6" s="2" t="str">
        <f>FLOOR(D6,10)&amp;"-"&amp;FLOOR(D6,10)+9</f>
        <v>170-179</v>
      </c>
      <c r="G6" t="s">
        <v>20</v>
      </c>
      <c r="H6" s="2">
        <f>COUNTIFS(weight_group_range,row_label,height_group_range,column_label)/N</f>
        <v>0</v>
      </c>
      <c r="I6" s="2">
        <f>COUNTIFS(weight_group_range,row_label,height_group_range,column_label)/N</f>
        <v>0</v>
      </c>
      <c r="J6" s="2">
        <f>COUNTIFS(weight_group_range,row_label,height_group_range,column_label)/N</f>
        <v>0</v>
      </c>
      <c r="K6" s="2">
        <f>COUNTIFS(weight_group_range,row_label,height_group_range,column_label)/N</f>
        <v>0</v>
      </c>
      <c r="L6" s="2">
        <f>COUNTIFS(weight_group_range,row_label,height_group_range,column_label)/N</f>
        <v>0</v>
      </c>
    </row>
    <row r="7" ht="14.25">
      <c r="A7" s="3" t="s">
        <v>21</v>
      </c>
      <c r="B7" s="2">
        <f ca="1">RANDBETWEEN(1,12)</f>
        <v>8</v>
      </c>
      <c r="C7" s="2">
        <f ca="1">_xlfn.NORM.INV(RAND(),60,10)</f>
        <v>53.628313742301955</v>
      </c>
      <c r="D7" s="2">
        <f ca="1">_xlfn.NORM.INV(RAND(),160,10)</f>
        <v>162.48740953349343</v>
      </c>
      <c r="E7" s="2" t="str">
        <f>FLOOR(C7,10)&amp;"-"&amp;FLOOR(C7,10)+9</f>
        <v>50-59</v>
      </c>
      <c r="F7" s="2" t="str">
        <f>FLOOR(D7,10)&amp;"-"&amp;FLOOR(D7,10)+9</f>
        <v>160-169</v>
      </c>
      <c r="M7">
        <f>COUNTIFS(joint_distribution,"&gt;0")</f>
        <v>8</v>
      </c>
    </row>
    <row r="8" ht="14.25">
      <c r="A8" s="3" t="s">
        <v>22</v>
      </c>
      <c r="B8" s="2">
        <f ca="1">RANDBETWEEN(1,12)</f>
        <v>11</v>
      </c>
      <c r="C8" s="2">
        <f ca="1">_xlfn.NORM.INV(RAND(),60,10)</f>
        <v>76.236266836735652</v>
      </c>
      <c r="D8" s="2">
        <f ca="1">_xlfn.NORM.INV(RAND(),160,10)</f>
        <v>161.74721964815834</v>
      </c>
      <c r="E8" s="2" t="str">
        <f>FLOOR(C8,10)&amp;"-"&amp;FLOOR(C8,10)+9</f>
        <v>70-79</v>
      </c>
      <c r="F8" s="2" t="str">
        <f>FLOOR(D8,10)&amp;"-"&amp;FLOOR(D8,10)+9</f>
        <v>160-169</v>
      </c>
    </row>
    <row r="9" ht="14.25">
      <c r="A9" s="3" t="s">
        <v>23</v>
      </c>
      <c r="B9" s="2">
        <f ca="1">RANDBETWEEN(1,12)</f>
        <v>4</v>
      </c>
      <c r="C9" s="2">
        <f ca="1">_xlfn.NORM.INV(RAND(),60,10)</f>
        <v>63.392644656403256</v>
      </c>
      <c r="D9" s="2">
        <f ca="1">_xlfn.NORM.INV(RAND(),160,10)</f>
        <v>146.93859352250007</v>
      </c>
      <c r="E9" s="2" t="str">
        <f>FLOOR(C9,10)&amp;"-"&amp;FLOOR(C9,10)+9</f>
        <v>60-69</v>
      </c>
      <c r="F9" s="2" t="str">
        <f>FLOOR(D9,10)&amp;"-"&amp;FLOOR(D9,10)+9</f>
        <v>140-149</v>
      </c>
    </row>
    <row r="10" ht="14.25">
      <c r="A10" s="3" t="s">
        <v>24</v>
      </c>
      <c r="B10" s="2">
        <f ca="1">RANDBETWEEN(1,12)</f>
        <v>8</v>
      </c>
      <c r="C10" s="2">
        <f ca="1">_xlfn.NORM.INV(RAND(),60,10)</f>
        <v>62.218584414534611</v>
      </c>
      <c r="D10" s="2">
        <f ca="1">_xlfn.NORM.INV(RAND(),160,10)</f>
        <v>153.11704034159607</v>
      </c>
      <c r="E10" s="2" t="str">
        <f>FLOOR(C10,10)&amp;"-"&amp;FLOOR(C10,10)+9</f>
        <v>60-69</v>
      </c>
      <c r="F10" s="2" t="str">
        <f>FLOOR(D10,10)&amp;"-"&amp;FLOOR(D10,10)+9</f>
        <v>150-159</v>
      </c>
    </row>
    <row r="11" ht="14.25">
      <c r="A11" s="3"/>
      <c r="B11" s="2">
        <f ca="1">RANDBETWEEN(1,12)</f>
        <v>8</v>
      </c>
      <c r="C11" s="2">
        <f ca="1">_xlfn.NORM.INV(RAND(),60,10)</f>
        <v>74.971429814640885</v>
      </c>
      <c r="D11" s="2">
        <f ca="1">_xlfn.NORM.INV(RAND(),160,10)</f>
        <v>167.15427002449559</v>
      </c>
      <c r="E11" s="2" t="str">
        <f>FLOOR(C11,10)&amp;"-"&amp;FLOOR(C11,10)+9</f>
        <v>70-79</v>
      </c>
      <c r="F11" s="2" t="str">
        <f>FLOOR(D11,10)&amp;"-"&amp;FLOOR(D11,10)+9</f>
        <v>160-169</v>
      </c>
    </row>
    <row r="12" ht="14.25">
      <c r="A12" s="3"/>
      <c r="B12" s="2">
        <f ca="1">RANDBETWEEN(1,12)</f>
        <v>3</v>
      </c>
      <c r="C12" s="2">
        <f ca="1">_xlfn.NORM.INV(RAND(),60,10)</f>
        <v>76.654026214492902</v>
      </c>
      <c r="D12" s="2">
        <f ca="1">_xlfn.NORM.INV(RAND(),160,10)</f>
        <v>154.02154318808422</v>
      </c>
      <c r="E12" s="2" t="str">
        <f>FLOOR(C12,10)&amp;"-"&amp;FLOOR(C12,10)+9</f>
        <v>70-79</v>
      </c>
      <c r="F12" s="2" t="str">
        <f>FLOOR(D12,10)&amp;"-"&amp;FLOOR(D12,10)+9</f>
        <v>150-159</v>
      </c>
    </row>
    <row r="13" ht="14.25">
      <c r="A13" s="3" t="s">
        <v>25</v>
      </c>
      <c r="B13" s="2">
        <f ca="1">RANDBETWEEN(1,12)</f>
        <v>12</v>
      </c>
      <c r="C13" s="2">
        <f ca="1">_xlfn.NORM.INV(RAND(),60,10)</f>
        <v>38.265132238348869</v>
      </c>
      <c r="D13" s="2">
        <f ca="1">_xlfn.NORM.INV(RAND(),160,10)</f>
        <v>172.60938263752644</v>
      </c>
      <c r="E13" s="2" t="str">
        <f>FLOOR(C13,10)&amp;"-"&amp;FLOOR(C13,10)+9</f>
        <v>30-39</v>
      </c>
      <c r="F13" s="2" t="str">
        <f>FLOOR(D13,10)&amp;"-"&amp;FLOOR(D13,10)+9</f>
        <v>170-179</v>
      </c>
    </row>
    <row r="14" ht="14.25">
      <c r="A14" s="3" t="s">
        <v>26</v>
      </c>
      <c r="B14" s="2">
        <f ca="1">RANDBETWEEN(1,12)</f>
        <v>12</v>
      </c>
      <c r="C14" s="2">
        <f ca="1">_xlfn.NORM.INV(RAND(),60,10)</f>
        <v>65.084554260688748</v>
      </c>
      <c r="D14" s="2">
        <f ca="1">_xlfn.NORM.INV(RAND(),160,10)</f>
        <v>157.97613800528791</v>
      </c>
      <c r="E14" s="2" t="str">
        <f>FLOOR(C14,10)&amp;"-"&amp;FLOOR(C14,10)+9</f>
        <v>60-69</v>
      </c>
      <c r="F14" s="2" t="str">
        <f>FLOOR(D14,10)&amp;"-"&amp;FLOOR(D14,10)+9</f>
        <v>150-159</v>
      </c>
    </row>
    <row r="15" ht="14.25">
      <c r="G15" t="s">
        <v>27</v>
      </c>
      <c r="H15">
        <f>MIN(month_range)</f>
        <v>2</v>
      </c>
      <c r="I15" s="2">
        <f>MIN(weight_range)</f>
        <v>38.265132238348869</v>
      </c>
      <c r="J15" s="2">
        <f>MIN(height_range)</f>
        <v>146.93859352250007</v>
      </c>
    </row>
    <row r="16" ht="14.25">
      <c r="G16" t="s">
        <v>28</v>
      </c>
      <c r="H16">
        <f>MAX(month_range)</f>
        <v>12</v>
      </c>
      <c r="I16" s="2">
        <f>MAX(weight_range)</f>
        <v>76.654026214492902</v>
      </c>
      <c r="J16" s="2">
        <f>MAX(height_range)</f>
        <v>174.83208315638856</v>
      </c>
    </row>
    <row r="17" ht="14.25">
      <c r="G17" t="s">
        <v>29</v>
      </c>
      <c r="H17">
        <f>VAR(month_range)</f>
        <v>13.833333333333334</v>
      </c>
      <c r="I17" s="2">
        <f>VAR(weight_range)</f>
        <v>115.84214542874911</v>
      </c>
      <c r="J17" s="2">
        <f>VAR(height_range)</f>
        <v>62.107030081245263</v>
      </c>
    </row>
    <row r="18" ht="14.25">
      <c r="G18" t="s">
        <v>30</v>
      </c>
      <c r="H18">
        <f>SQRT(H17)</f>
        <v>3.7193189340702331</v>
      </c>
      <c r="I18" s="2">
        <f>SQRT(I17)</f>
        <v>10.762998904986896</v>
      </c>
      <c r="J18" s="2">
        <f>SQRT(J17)</f>
        <v>7.8808013603468821</v>
      </c>
    </row>
    <row r="19" ht="14.25">
      <c r="G19" t="s">
        <v>31</v>
      </c>
      <c r="H19">
        <f>COUNT(B2:B14)</f>
        <v>13</v>
      </c>
      <c r="I19" s="2">
        <f>COUNT(C2:C14)</f>
        <v>13</v>
      </c>
      <c r="J19" s="2">
        <f>COUNT(D2:D14)</f>
        <v>13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2026-04-13T13:20:18Z</dcterms:modified>
</cp:coreProperties>
</file>