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<sst xmlns="http://schemas.openxmlformats.org/spreadsheetml/2006/main" count="11" uniqueCount="11">
  <si>
    <t>A</t>
  </si>
  <si>
    <t>C</t>
  </si>
  <si>
    <t>D</t>
  </si>
  <si>
    <t>I</t>
  </si>
  <si>
    <t>J</t>
  </si>
  <si>
    <t>Y</t>
  </si>
  <si>
    <t>MATI</t>
  </si>
  <si>
    <t>X</t>
  </si>
  <si>
    <t>HIDUP</t>
  </si>
  <si>
    <t>waktu</t>
  </si>
  <si>
    <t xml:space="preserve">hari ke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</si>
</sst>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1" fillId="0" borderId="0" numFmtId="0" xfId="0" applyFont="1"/>
    <xf fontId="0" fillId="0" borderId="0" numFmtId="0" xfId="0"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9" zoomScale="100" workbookViewId="0">
      <selection activeCell="A1" activeCellId="0" sqref="A1"/>
    </sheetView>
  </sheetViews>
  <sheetFormatPr defaultRowHeight="14.25"/>
  <sheetData>
    <row r="2" ht="14.25">
      <c r="B2" t="s">
        <v>0</v>
      </c>
      <c r="C2" t="s">
        <v>1</v>
      </c>
      <c r="D2" t="s">
        <v>2</v>
      </c>
      <c r="E2" t="s">
        <v>3</v>
      </c>
      <c r="F2" t="s">
        <v>4</v>
      </c>
    </row>
    <row r="3" ht="14.25">
      <c r="B3">
        <v>0.80000000000000004</v>
      </c>
      <c r="C3">
        <v>0.80000000000000004</v>
      </c>
      <c r="D3">
        <v>0.80000000000000004</v>
      </c>
      <c r="E3">
        <v>0.80000000000000004</v>
      </c>
      <c r="F3">
        <f>1-0.2^4</f>
        <v>0.99839999999999995</v>
      </c>
      <c r="G3">
        <f>F3*E3*D3*C3*B3</f>
        <v>0.40894464000000003</v>
      </c>
    </row>
    <row r="6" ht="14.25">
      <c r="C6" t="s">
        <v>5</v>
      </c>
      <c r="D6" t="s">
        <v>6</v>
      </c>
    </row>
    <row r="7" ht="14.25">
      <c r="C7">
        <v>0</v>
      </c>
      <c r="D7">
        <v>1</v>
      </c>
      <c r="E7">
        <v>2</v>
      </c>
      <c r="F7" s="1">
        <v>3</v>
      </c>
      <c r="G7" s="1"/>
      <c r="H7" s="1"/>
      <c r="I7" s="1"/>
    </row>
    <row r="8" ht="14.25">
      <c r="A8" t="s">
        <v>7</v>
      </c>
      <c r="B8">
        <v>0</v>
      </c>
      <c r="C8">
        <v>0</v>
      </c>
      <c r="D8">
        <v>0</v>
      </c>
      <c r="E8">
        <v>0</v>
      </c>
      <c r="F8">
        <f>BINOMDIST(0,3,0.9,0)</f>
        <v>9.9999999999999937e-004</v>
      </c>
      <c r="G8">
        <f>SUM(C8:F8)</f>
        <v>9.9999999999999937e-004</v>
      </c>
    </row>
    <row r="9" ht="14.25">
      <c r="A9" t="s">
        <v>8</v>
      </c>
      <c r="B9">
        <v>1</v>
      </c>
      <c r="C9">
        <v>0</v>
      </c>
      <c r="D9">
        <v>0</v>
      </c>
      <c r="E9">
        <f>BINOMDIST(1,3,0.9,0)</f>
        <v>2.6999999999999989e-002</v>
      </c>
      <c r="F9">
        <v>0</v>
      </c>
      <c r="G9" s="2">
        <f>SUM(C9:F9)</f>
        <v>2.6999999999999989e-002</v>
      </c>
    </row>
    <row r="10" ht="14.25">
      <c r="B10">
        <v>2</v>
      </c>
      <c r="C10">
        <v>0</v>
      </c>
      <c r="D10">
        <f>BINOMDIST(2,3,0.9,0)</f>
        <v>0.24299999999999997</v>
      </c>
      <c r="E10">
        <v>0</v>
      </c>
      <c r="F10">
        <v>0</v>
      </c>
      <c r="G10" s="2">
        <f>SUM(C10:F10)</f>
        <v>0.24299999999999997</v>
      </c>
    </row>
    <row r="11" ht="14.25">
      <c r="B11">
        <v>3</v>
      </c>
      <c r="C11">
        <f>BINOMDIST(3,3,0.9,0)</f>
        <v>0.72900000000000009</v>
      </c>
      <c r="D11">
        <v>0</v>
      </c>
      <c r="E11">
        <v>0</v>
      </c>
      <c r="F11">
        <v>0</v>
      </c>
      <c r="G11" s="2">
        <f>SUM(C11:F11)</f>
        <v>0.72900000000000009</v>
      </c>
    </row>
    <row r="12" ht="14.25">
      <c r="C12">
        <f>SUM(C8:C11)</f>
        <v>0.72900000000000009</v>
      </c>
      <c r="D12" s="2">
        <f>SUM(D8:D11)</f>
        <v>0.24299999999999997</v>
      </c>
      <c r="E12" s="2">
        <f>SUM(E8:E11)</f>
        <v>2.6999999999999989e-002</v>
      </c>
      <c r="F12" s="2">
        <f>SUM(F8:F11)</f>
        <v>9.9999999999999937e-004</v>
      </c>
      <c r="G12">
        <f>SUM(G8:G11)</f>
        <v>1</v>
      </c>
    </row>
    <row r="14" ht="14.25">
      <c r="C14">
        <v>0.80000000000000004</v>
      </c>
      <c r="D14" t="s">
        <v>9</v>
      </c>
      <c r="E14" t="s">
        <v>10</v>
      </c>
    </row>
    <row r="15" ht="14.25">
      <c r="B15">
        <v>1</v>
      </c>
      <c r="C15">
        <f>BINOMDIST(B15,5,$C$14,0)</f>
        <v>6.3999999999999942e-003</v>
      </c>
      <c r="D15">
        <f>C15/0.4</f>
        <v>1.5999999999999983e-002</v>
      </c>
      <c r="E15">
        <f>D15*30</f>
        <v>0.47999999999999948</v>
      </c>
    </row>
    <row r="16" ht="14.25">
      <c r="B16">
        <v>2</v>
      </c>
      <c r="C16">
        <f>BINOMDIST(1,4,$C$14,0)</f>
        <v>2.5599999999999984e-002</v>
      </c>
      <c r="D16">
        <f>C16/0.4</f>
        <v>6.399999999999996e-002</v>
      </c>
      <c r="E16">
        <f>D16*30</f>
        <v>1.9199999999999988</v>
      </c>
    </row>
    <row r="17" ht="14.25">
      <c r="B17">
        <v>3</v>
      </c>
      <c r="C17">
        <f>BINOMDIST(1,3,$C$14,0)</f>
        <v>9.599999999999996e-002</v>
      </c>
    </row>
    <row r="18" ht="14.25">
      <c r="B18">
        <v>4</v>
      </c>
      <c r="C18">
        <f>BINOMDIST(1,2,$C$14,0)</f>
        <v>0.31999999999999995</v>
      </c>
    </row>
    <row r="19" ht="14.25">
      <c r="B19">
        <v>5</v>
      </c>
      <c r="C19">
        <f>BINOMDIST(1,1,$C$14,0)</f>
        <v>0.80000000000000004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2026-04-01T07:56:35Z</dcterms:modified>
</cp:coreProperties>
</file>